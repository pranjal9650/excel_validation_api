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aurryatele-my.sharepoint.com/personal/priya_thorat_shaurryatele_com/Documents/priya/"/>
    </mc:Choice>
  </mc:AlternateContent>
  <xr:revisionPtr revIDLastSave="128" documentId="13_ncr:1_{E024B931-2BC1-49E3-AF6F-4BF20DC77A4B}" xr6:coauthVersionLast="47" xr6:coauthVersionMax="47" xr10:uidLastSave="{72FD6B70-7D02-4632-A0DB-C8B940DC1CEC}"/>
  <bookViews>
    <workbookView xWindow="-108" yWindow="-108" windowWidth="23256" windowHeight="12456" xr2:uid="{0C31E044-286E-4B21-853B-127EEDD7C275}"/>
  </bookViews>
  <sheets>
    <sheet name="Master Sheet" sheetId="1" r:id="rId1"/>
  </sheets>
  <externalReferences>
    <externalReference r:id="rId2"/>
  </externalReferences>
  <definedNames>
    <definedName name="_xlnm._FilterDatabase" localSheetId="0" hidden="1">'Master Sheet'!$A$1:$J$52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E45" i="1"/>
  <c r="F27" i="1"/>
  <c r="E27" i="1"/>
  <c r="F21" i="1"/>
  <c r="E21" i="1"/>
  <c r="E52" i="1"/>
  <c r="E51" i="1"/>
  <c r="E49" i="1"/>
  <c r="F48" i="1"/>
  <c r="E48" i="1"/>
  <c r="F47" i="1"/>
  <c r="E47" i="1"/>
  <c r="F46" i="1"/>
  <c r="E46" i="1"/>
  <c r="F44" i="1"/>
  <c r="E44" i="1"/>
  <c r="F42" i="1"/>
  <c r="E42" i="1"/>
  <c r="F41" i="1"/>
  <c r="E41" i="1"/>
  <c r="F40" i="1"/>
  <c r="E40" i="1"/>
  <c r="F39" i="1"/>
  <c r="E39" i="1"/>
  <c r="F35" i="1"/>
  <c r="E35" i="1"/>
  <c r="F34" i="1"/>
  <c r="E34" i="1"/>
  <c r="F33" i="1"/>
  <c r="E33" i="1"/>
  <c r="F32" i="1"/>
  <c r="E32" i="1"/>
  <c r="F31" i="1"/>
  <c r="E31" i="1"/>
  <c r="E28" i="1"/>
  <c r="F26" i="1"/>
  <c r="E26" i="1"/>
  <c r="F24" i="1"/>
  <c r="E24" i="1"/>
  <c r="E23" i="1"/>
  <c r="F20" i="1"/>
  <c r="E20" i="1"/>
  <c r="F19" i="1"/>
  <c r="E19" i="1"/>
  <c r="F18" i="1"/>
  <c r="E18" i="1"/>
  <c r="E15" i="1"/>
  <c r="F13" i="1"/>
  <c r="E13" i="1"/>
  <c r="F12" i="1"/>
  <c r="E12" i="1"/>
  <c r="F11" i="1"/>
  <c r="E11" i="1"/>
  <c r="F10" i="1"/>
  <c r="E10" i="1"/>
  <c r="F8" i="1"/>
  <c r="E8" i="1"/>
  <c r="F7" i="1"/>
  <c r="E7" i="1"/>
  <c r="F6" i="1"/>
  <c r="E6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<sst xmlns="http://schemas.openxmlformats.org/spreadsheetml/2006/main" count="197" uniqueCount="126">
  <si>
    <t>Full Name</t>
  </si>
  <si>
    <t>Username</t>
  </si>
  <si>
    <t>Circle</t>
  </si>
  <si>
    <t>Business Domain</t>
  </si>
  <si>
    <t>Role</t>
  </si>
  <si>
    <t>Abhiman Ganguly</t>
  </si>
  <si>
    <t>abhiman_st</t>
  </si>
  <si>
    <t>Kolkata</t>
  </si>
  <si>
    <t>Adesh Kumar Patel</t>
  </si>
  <si>
    <t>adesh_st</t>
  </si>
  <si>
    <t>Delhi NCR</t>
  </si>
  <si>
    <t>Afsar Ali</t>
  </si>
  <si>
    <t>afsar_st</t>
  </si>
  <si>
    <t>Mumbai</t>
  </si>
  <si>
    <t>SA</t>
  </si>
  <si>
    <t>Akhilesh Premprakash Giri</t>
  </si>
  <si>
    <t>akhilesh_st</t>
  </si>
  <si>
    <t>Mobility</t>
  </si>
  <si>
    <t>O&amp;M</t>
  </si>
  <si>
    <t>Amaan Aijaz</t>
  </si>
  <si>
    <t>amaan_st</t>
  </si>
  <si>
    <t>UPE</t>
  </si>
  <si>
    <t>Anish Kumar</t>
  </si>
  <si>
    <t>anish_st</t>
  </si>
  <si>
    <t>Ankaj Chaudhary</t>
  </si>
  <si>
    <t>ankaj_st</t>
  </si>
  <si>
    <t>Arsadur Rahaman Halder</t>
  </si>
  <si>
    <t>arsadur_st</t>
  </si>
  <si>
    <t>Ashok Soni</t>
  </si>
  <si>
    <t>ashok_st</t>
  </si>
  <si>
    <t>Badhan Sarkar</t>
  </si>
  <si>
    <t>badhan_st</t>
  </si>
  <si>
    <t>Dattatray Ganpat Ranmakar</t>
  </si>
  <si>
    <t>dattatray_st</t>
  </si>
  <si>
    <t>Maharashtra</t>
  </si>
  <si>
    <t>Deepanshu Pandey</t>
  </si>
  <si>
    <t>dipanshu_st</t>
  </si>
  <si>
    <t>Devendra Pal Singh</t>
  </si>
  <si>
    <t>devendra_st</t>
  </si>
  <si>
    <t>Ganesh Bhimsen Kumbhar</t>
  </si>
  <si>
    <t>ganeshk_st</t>
  </si>
  <si>
    <t>Gopal  Sonkar</t>
  </si>
  <si>
    <t>gopal_st</t>
  </si>
  <si>
    <t>Irrappa Bassapa</t>
  </si>
  <si>
    <t>irrappa_st</t>
  </si>
  <si>
    <t>Karnataka</t>
  </si>
  <si>
    <t>Karim Khan</t>
  </si>
  <si>
    <t>karim_st</t>
  </si>
  <si>
    <t>Kishor Krushna Tegade</t>
  </si>
  <si>
    <t>kishor_st</t>
  </si>
  <si>
    <t>Mithilesh Mishra</t>
  </si>
  <si>
    <t>mithlesh_st</t>
  </si>
  <si>
    <t>Mohd Ishhanque khan</t>
  </si>
  <si>
    <t>ishhanque_st</t>
  </si>
  <si>
    <t>Nilesh K Salunke</t>
  </si>
  <si>
    <t>nilesh_st</t>
  </si>
  <si>
    <t>Pankaj Chaudhary</t>
  </si>
  <si>
    <t>pankaj_st</t>
  </si>
  <si>
    <t>Prabhakar Gopalrao Gaikwad</t>
  </si>
  <si>
    <t>prabhakar_st</t>
  </si>
  <si>
    <t>Pradeep  Brahampal Rajoria</t>
  </si>
  <si>
    <t>pradeep_st</t>
  </si>
  <si>
    <t>Raghvendra Kumar</t>
  </si>
  <si>
    <t>raghvendra_st</t>
  </si>
  <si>
    <t>Rajesh Shukla</t>
  </si>
  <si>
    <t>rajesh_sts</t>
  </si>
  <si>
    <t>UPW</t>
  </si>
  <si>
    <t>Rajnish Nimbark</t>
  </si>
  <si>
    <t>rajnish_st</t>
  </si>
  <si>
    <t>Gujarat</t>
  </si>
  <si>
    <t>RATAN BAHADHUR SINGH</t>
  </si>
  <si>
    <t>ratan_st</t>
  </si>
  <si>
    <t>RUPESH YASHWANT RANE</t>
  </si>
  <si>
    <t>rupesh_st</t>
  </si>
  <si>
    <t>Sachin Mahade</t>
  </si>
  <si>
    <t>sachin_st</t>
  </si>
  <si>
    <t>Sagar Deepak Gurav</t>
  </si>
  <si>
    <t>sagar_st</t>
  </si>
  <si>
    <t>Sagar Kanubhai</t>
  </si>
  <si>
    <t>sagark_st</t>
  </si>
  <si>
    <t>Sanjeev S Panwar</t>
  </si>
  <si>
    <t>sanjeev_st</t>
  </si>
  <si>
    <t>Satish Megaraj</t>
  </si>
  <si>
    <t>satish_st</t>
  </si>
  <si>
    <t>Satwinder Pal Jagotra</t>
  </si>
  <si>
    <t>satwinder_sts</t>
  </si>
  <si>
    <t>Saurabh Gupta</t>
  </si>
  <si>
    <t>saurabh_st</t>
  </si>
  <si>
    <t>Shivanshu Dubey</t>
  </si>
  <si>
    <t>shivanshu_st</t>
  </si>
  <si>
    <t>Sudarshan Ramrao Tigote</t>
  </si>
  <si>
    <t>sudarshan_st</t>
  </si>
  <si>
    <t>Sunil P Bhagwat</t>
  </si>
  <si>
    <t>sunilb_st</t>
  </si>
  <si>
    <t>Suresh Gowda</t>
  </si>
  <si>
    <t>suresh_st</t>
  </si>
  <si>
    <t>Sushank Rajendra Mohakar</t>
  </si>
  <si>
    <t>sushank_sts</t>
  </si>
  <si>
    <t>Suyog Laxman Kajare</t>
  </si>
  <si>
    <t>suyog_st</t>
  </si>
  <si>
    <t>Vineet Rajpoot</t>
  </si>
  <si>
    <t>vineet_st</t>
  </si>
  <si>
    <t>Yogesh Naykodi</t>
  </si>
  <si>
    <t>yogesh_naykodi_st</t>
  </si>
  <si>
    <t>Remark</t>
  </si>
  <si>
    <t>Shabbir Khan</t>
  </si>
  <si>
    <t>shabbir_st</t>
  </si>
  <si>
    <t>Enterprise</t>
  </si>
  <si>
    <t>Business</t>
  </si>
  <si>
    <t>Niranjan M</t>
  </si>
  <si>
    <t>niranjan_sts</t>
  </si>
  <si>
    <t>Project</t>
  </si>
  <si>
    <t>Kuljeet Singh</t>
  </si>
  <si>
    <t>kuljeet_st</t>
  </si>
  <si>
    <t>Gurgaon</t>
  </si>
  <si>
    <t>Piyush Khobragade</t>
  </si>
  <si>
    <t>piyush_st</t>
  </si>
  <si>
    <t>Sibayan Ghosh</t>
  </si>
  <si>
    <t>sibayan_st</t>
  </si>
  <si>
    <t>Distance</t>
  </si>
  <si>
    <t>No of Forms Filled</t>
  </si>
  <si>
    <t>Sandeep Kumar Singh</t>
  </si>
  <si>
    <t>sanddepsingh_sts</t>
  </si>
  <si>
    <t>Sr.No.</t>
  </si>
  <si>
    <t>Ankush Shelotkar</t>
  </si>
  <si>
    <t>ankush_sts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</si>
</sst>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rgb="FF000000"/>
      <name val="Aptos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0"/>
      <color rgb="FF000000"/>
      <name val="Inherit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5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ya\Downloads\EMPLOYEE-2026-01-13-160145.xlsx" TargetMode="External"/><Relationship Id="rId1" Type="http://schemas.openxmlformats.org/officeDocument/2006/relationships/externalLinkPath" Target="file:///C:\Users\priya\Downloads\EMPLOYEE-2026-01-13-1601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>
        <row r="1">
          <cell r="A1" t="str">
            <v>Title</v>
          </cell>
          <cell r="B1" t="str">
            <v>Description</v>
          </cell>
          <cell r="C1" t="str">
            <v>Field Executive Full Name</v>
          </cell>
          <cell r="D1" t="str">
            <v>Field Executive Email</v>
          </cell>
          <cell r="E1" t="str">
            <v>Field Executive Phone</v>
          </cell>
          <cell r="F1" t="str">
            <v>Field Executive Team Id</v>
          </cell>
          <cell r="G1" t="str">
            <v>Field Executive Username</v>
          </cell>
          <cell r="H1" t="str">
            <v>Field Executive Status</v>
          </cell>
          <cell r="I1" t="str">
            <v>Reporting Manager</v>
          </cell>
          <cell r="J1" t="str">
            <v>Segment</v>
          </cell>
          <cell r="K1" t="str">
            <v>City</v>
          </cell>
          <cell r="L1" t="str">
            <v>Mode of Job</v>
          </cell>
        </row>
        <row r="2">
          <cell r="A2" t="str">
            <v>Abhijeet Tukaram Gawthe</v>
          </cell>
          <cell r="B2" t="str">
            <v>Mumbai - Enterprise - NAAS - Engineer</v>
          </cell>
          <cell r="C2" t="str">
            <v>Abhijeet Tukaram Gawthe</v>
          </cell>
          <cell r="D2" t="str">
            <v>abhijeet.gawthe@shaurryatele.com</v>
          </cell>
          <cell r="E2" t="str">
            <v>9967900154</v>
          </cell>
          <cell r="F2" t="str">
            <v>Shaurrya Teleservices</v>
          </cell>
          <cell r="G2" t="str">
            <v>abhijeet_sts</v>
          </cell>
          <cell r="H2" t="str">
            <v>Active</v>
          </cell>
          <cell r="I2" t="str">
            <v>admin_shaurrya</v>
          </cell>
          <cell r="J2" t="str">
            <v>Enterprise</v>
          </cell>
          <cell r="K2" t="str">
            <v>Mumbai</v>
          </cell>
          <cell r="L2" t="str">
            <v>Project</v>
          </cell>
        </row>
        <row r="3">
          <cell r="A3" t="str">
            <v>Abhiman Ganguly</v>
          </cell>
          <cell r="B3" t="str">
            <v xml:space="preserve">WB-KOL-Mobility-Circle Head
</v>
          </cell>
          <cell r="C3" t="str">
            <v>Abhiman Ganguly</v>
          </cell>
          <cell r="D3" t="str">
            <v>abhiman.ganguly@shaurryatele.com</v>
          </cell>
          <cell r="E3" t="str">
            <v>9903451369</v>
          </cell>
          <cell r="F3" t="str">
            <v>Abhiman Ganguly</v>
          </cell>
          <cell r="G3" t="str">
            <v>abhiman_st</v>
          </cell>
          <cell r="H3" t="str">
            <v>Active</v>
          </cell>
          <cell r="I3" t="str">
            <v>sanjeevg_st</v>
          </cell>
          <cell r="J3" t="str">
            <v>Mobility</v>
          </cell>
          <cell r="K3" t="str">
            <v>Kolkata</v>
          </cell>
          <cell r="L3" t="str">
            <v>Business</v>
          </cell>
        </row>
        <row r="4">
          <cell r="A4" t="str">
            <v>Adesh Kumar Patel</v>
          </cell>
          <cell r="B4" t="str">
            <v xml:space="preserve">Delhi - Mobility - maintenance
</v>
          </cell>
          <cell r="C4" t="str">
            <v>Adesh Kumar Patel</v>
          </cell>
          <cell r="D4" t="str">
            <v>adesh_st_1739513014692@skedulomatic.com</v>
          </cell>
          <cell r="E4" t="str">
            <v>8448102503</v>
          </cell>
          <cell r="F4" t="str">
            <v>Pankaj Choudhary</v>
          </cell>
          <cell r="G4" t="str">
            <v>adesh_st</v>
          </cell>
          <cell r="H4" t="str">
            <v>Active</v>
          </cell>
          <cell r="I4" t="str">
            <v>pankaj_st</v>
          </cell>
          <cell r="J4" t="str">
            <v>Mobility</v>
          </cell>
          <cell r="K4" t="str">
            <v>Delhi</v>
          </cell>
          <cell r="L4" t="str">
            <v>O&amp;M</v>
          </cell>
        </row>
        <row r="5">
          <cell r="A5" t="str">
            <v>Afsar Ali</v>
          </cell>
          <cell r="B5" t="str">
            <v xml:space="preserve">Mumbai - Mobility - Acquisition
</v>
          </cell>
          <cell r="C5" t="str">
            <v>Afsar Ali</v>
          </cell>
          <cell r="D5" t="str">
            <v>afsarali909@gmail.com</v>
          </cell>
          <cell r="E5" t="str">
            <v>8452030267</v>
          </cell>
          <cell r="F5" t="str">
            <v>Sunil P Bhagwat</v>
          </cell>
          <cell r="G5" t="str">
            <v>afsar_st</v>
          </cell>
          <cell r="H5" t="str">
            <v>Active</v>
          </cell>
          <cell r="I5" t="str">
            <v>sunilb_st</v>
          </cell>
          <cell r="J5" t="str">
            <v>Mobility</v>
          </cell>
          <cell r="K5" t="str">
            <v>Mumbai</v>
          </cell>
          <cell r="L5" t="str">
            <v>Acquisition team</v>
          </cell>
        </row>
        <row r="6">
          <cell r="A6" t="str">
            <v>Akhilesh</v>
          </cell>
          <cell r="B6" t="str">
            <v xml:space="preserve">Mumbai - Mobility - O&amp;M
</v>
          </cell>
          <cell r="C6" t="str">
            <v>Akhilesh Premprakash Giri</v>
          </cell>
          <cell r="D6" t="str">
            <v>akhilesh@shaurryatele.com</v>
          </cell>
          <cell r="E6" t="str">
            <v>9029208855</v>
          </cell>
          <cell r="F6" t="str">
            <v>Sunil P Bhagwat</v>
          </cell>
          <cell r="G6" t="str">
            <v>akhilesh_st</v>
          </cell>
          <cell r="H6" t="str">
            <v>Active</v>
          </cell>
          <cell r="I6" t="str">
            <v>sunilb_st</v>
          </cell>
          <cell r="J6" t="str">
            <v>Mobility</v>
          </cell>
          <cell r="K6" t="str">
            <v>Mumbai</v>
          </cell>
          <cell r="L6" t="str">
            <v>O&amp;M</v>
          </cell>
        </row>
        <row r="7">
          <cell r="A7" t="str">
            <v>Amaan Aijaz</v>
          </cell>
          <cell r="B7" t="str">
            <v>UPE - Mobility - Project &amp; Maintenance</v>
          </cell>
          <cell r="C7" t="str">
            <v>Amaan Aijaz</v>
          </cell>
          <cell r="D7" t="str">
            <v>amaan_st_1739512518637@skedulomatic.com</v>
          </cell>
          <cell r="E7" t="str">
            <v>9936837499</v>
          </cell>
          <cell r="F7" t="str">
            <v>Sandeep Rana</v>
          </cell>
          <cell r="G7" t="str">
            <v>amaan_st</v>
          </cell>
          <cell r="H7" t="str">
            <v>Active</v>
          </cell>
          <cell r="I7" t="str">
            <v>sandeep_st</v>
          </cell>
          <cell r="J7" t="str">
            <v>Mobility</v>
          </cell>
          <cell r="K7" t="str">
            <v>Kanpur</v>
          </cell>
          <cell r="L7" t="str">
            <v>O&amp;M</v>
          </cell>
        </row>
        <row r="8">
          <cell r="A8" t="str">
            <v>Anish Kumar</v>
          </cell>
          <cell r="B8" t="str">
            <v>Delhi - Enterprise -Site Development &amp; Maintenance FTTH</v>
          </cell>
          <cell r="C8" t="str">
            <v>Anish Kumar</v>
          </cell>
          <cell r="D8" t="str">
            <v>anish.kumar9333@gmail.com</v>
          </cell>
          <cell r="E8" t="str">
            <v>8368895208</v>
          </cell>
          <cell r="F8" t="str">
            <v>Pankaj Gaurav</v>
          </cell>
          <cell r="G8" t="str">
            <v>anish_st</v>
          </cell>
          <cell r="H8" t="str">
            <v>Active</v>
          </cell>
          <cell r="I8" t="str">
            <v>pankajg_st</v>
          </cell>
          <cell r="J8" t="str">
            <v>Enterprise</v>
          </cell>
          <cell r="K8" t="str">
            <v>Delhi</v>
          </cell>
          <cell r="L8" t="str">
            <v>O&amp;M</v>
          </cell>
        </row>
        <row r="9">
          <cell r="A9" t="str">
            <v>Ankaj Chaudhary</v>
          </cell>
          <cell r="B9" t="str">
            <v>Delhi - Mobility - Site Development &amp; Maintenance</v>
          </cell>
          <cell r="C9" t="str">
            <v>Ankaj Chaudhary</v>
          </cell>
          <cell r="D9" t="str">
            <v>ankaj@shaurryatele.com</v>
          </cell>
          <cell r="E9" t="str">
            <v>8395061400</v>
          </cell>
          <cell r="F9" t="str">
            <v>Pankaj Choudhary</v>
          </cell>
          <cell r="G9" t="str">
            <v>ankaj_st</v>
          </cell>
          <cell r="H9" t="str">
            <v>Active</v>
          </cell>
          <cell r="I9" t="str">
            <v>pankaj_st</v>
          </cell>
          <cell r="J9" t="str">
            <v>Mobility</v>
          </cell>
          <cell r="K9" t="str">
            <v>Delhi</v>
          </cell>
          <cell r="L9" t="str">
            <v>O&amp;M</v>
          </cell>
        </row>
        <row r="10">
          <cell r="A10" t="str">
            <v>Arsadur Rahaman Halder</v>
          </cell>
          <cell r="B10" t="str">
            <v xml:space="preserve">WB - Mobility - Electrical Technician
</v>
          </cell>
          <cell r="C10" t="str">
            <v>Arsadur Rahaman Halder</v>
          </cell>
          <cell r="D10" t="str">
            <v>dlrhalder1@gmail.com</v>
          </cell>
          <cell r="E10" t="str">
            <v>09800291987</v>
          </cell>
          <cell r="F10" t="str">
            <v>Abhiman Ganguly</v>
          </cell>
          <cell r="G10" t="str">
            <v>arsadur_st</v>
          </cell>
          <cell r="H10" t="str">
            <v>Active</v>
          </cell>
          <cell r="I10" t="str">
            <v>abhiman_st</v>
          </cell>
          <cell r="J10" t="str">
            <v>Mobility</v>
          </cell>
          <cell r="K10" t="str">
            <v>Kolkata</v>
          </cell>
          <cell r="L10" t="str">
            <v>O&amp;M</v>
          </cell>
        </row>
        <row r="11">
          <cell r="A11" t="str">
            <v>Ashok Soni</v>
          </cell>
          <cell r="B11" t="str">
            <v>Mumbai - Mobility - O&amp;M</v>
          </cell>
          <cell r="C11" t="str">
            <v>Ashok Soni</v>
          </cell>
          <cell r="D11" t="str">
            <v>ashok@shaurryatele.com</v>
          </cell>
          <cell r="E11" t="str">
            <v>6386637010</v>
          </cell>
          <cell r="F11" t="str">
            <v>Sunil P Bhagwat</v>
          </cell>
          <cell r="G11" t="str">
            <v>ashok_st</v>
          </cell>
          <cell r="H11" t="str">
            <v>Active</v>
          </cell>
          <cell r="I11" t="str">
            <v>sunilb_st</v>
          </cell>
          <cell r="J11" t="str">
            <v>Mobility</v>
          </cell>
          <cell r="K11" t="str">
            <v>Mumbai</v>
          </cell>
          <cell r="L11" t="str">
            <v>O&amp;M</v>
          </cell>
        </row>
        <row r="12">
          <cell r="A12" t="str">
            <v>Badhan Sarkar</v>
          </cell>
          <cell r="B12" t="str">
            <v xml:space="preserve">WB - Mobility - Project
</v>
          </cell>
          <cell r="C12" t="str">
            <v>Badhan Sarkar</v>
          </cell>
          <cell r="D12" t="str">
            <v>badhan_st_1739512943695@skedulomatic.com</v>
          </cell>
          <cell r="E12" t="str">
            <v>7003719849</v>
          </cell>
          <cell r="F12" t="str">
            <v>Abhiman Ganguly</v>
          </cell>
          <cell r="G12" t="str">
            <v>badhan_st</v>
          </cell>
          <cell r="H12" t="str">
            <v>Active</v>
          </cell>
          <cell r="I12" t="str">
            <v>abhiman_st</v>
          </cell>
          <cell r="J12" t="str">
            <v>Mobility</v>
          </cell>
          <cell r="K12" t="str">
            <v>Kolkata</v>
          </cell>
          <cell r="L12" t="str">
            <v>Project</v>
          </cell>
        </row>
        <row r="13">
          <cell r="A13" t="str">
            <v>Dattatray Ganpat Ranmakar</v>
          </cell>
          <cell r="B13" t="str">
            <v xml:space="preserve">MH - Mobility - Circle Head
</v>
          </cell>
          <cell r="C13" t="str">
            <v>Dattatray Ganpat Ranmakar</v>
          </cell>
          <cell r="D13" t="str">
            <v>dattatray_st_1739512867228@skedulomatic.com</v>
          </cell>
          <cell r="E13" t="str">
            <v>8888806810</v>
          </cell>
          <cell r="F13" t="str">
            <v>Dattatray Ganpat Ranmakar</v>
          </cell>
          <cell r="G13" t="str">
            <v>dattatray_st</v>
          </cell>
          <cell r="H13" t="str">
            <v>Active</v>
          </cell>
          <cell r="I13" t="str">
            <v>sanjeevg_st</v>
          </cell>
          <cell r="J13" t="str">
            <v>Mobility</v>
          </cell>
          <cell r="K13" t="str">
            <v>Pune</v>
          </cell>
          <cell r="L13" t="str">
            <v>Business</v>
          </cell>
        </row>
        <row r="14">
          <cell r="A14" t="str">
            <v>Deepanshu Pandey </v>
          </cell>
          <cell r="B14" t="str">
            <v xml:space="preserve">UPE - Mobility - Acquisition
</v>
          </cell>
          <cell r="C14" t="str">
            <v>Deepanshu Pandey </v>
          </cell>
          <cell r="D14" t="str">
            <v>dipanshu_st_1727956485051@skedulomatic.com</v>
          </cell>
          <cell r="E14" t="str">
            <v>9140864299</v>
          </cell>
          <cell r="F14" t="str">
            <v>Sandeep Rana</v>
          </cell>
          <cell r="G14" t="str">
            <v>dipanshu_st</v>
          </cell>
          <cell r="H14" t="str">
            <v>Active</v>
          </cell>
          <cell r="I14" t="str">
            <v>sandeep_st</v>
          </cell>
          <cell r="J14" t="str">
            <v>Mobility</v>
          </cell>
          <cell r="K14" t="str">
            <v>Lucknow</v>
          </cell>
          <cell r="L14" t="str">
            <v>Acquisition team</v>
          </cell>
        </row>
        <row r="15">
          <cell r="A15" t="str">
            <v>Devendra Pal Singh</v>
          </cell>
          <cell r="B15" t="str">
            <v xml:space="preserve">Delhi - Mobility - Acquisition
</v>
          </cell>
          <cell r="C15" t="str">
            <v>Devendra Pal Singh</v>
          </cell>
          <cell r="D15" t="str">
            <v>devendrapals1997@gmail.com</v>
          </cell>
          <cell r="E15" t="str">
            <v>8630522698</v>
          </cell>
          <cell r="F15" t="str">
            <v>Saurabh Gupta</v>
          </cell>
          <cell r="G15" t="str">
            <v>devendra_st</v>
          </cell>
          <cell r="H15" t="str">
            <v>Active</v>
          </cell>
          <cell r="I15" t="str">
            <v>saurabh_st</v>
          </cell>
          <cell r="J15" t="str">
            <v>Mobility</v>
          </cell>
          <cell r="K15" t="str">
            <v>Delhi</v>
          </cell>
          <cell r="L15" t="str">
            <v>Acquisition team</v>
          </cell>
        </row>
        <row r="16">
          <cell r="A16" t="str">
            <v>GANESH KUMBHAR</v>
          </cell>
          <cell r="B16" t="str">
            <v>MH - Mobility - Acquisition</v>
          </cell>
          <cell r="C16" t="str">
            <v>Ganesh Bhimsen Kumbhar</v>
          </cell>
          <cell r="D16" t="str">
            <v>ganeshkumbhar424@gmail.com</v>
          </cell>
          <cell r="E16" t="str">
            <v>9823982397</v>
          </cell>
          <cell r="F16" t="str">
            <v>Dattatray Ganpat Ranmakar</v>
          </cell>
          <cell r="G16" t="str">
            <v>ganeshk_st</v>
          </cell>
          <cell r="H16" t="str">
            <v>Active</v>
          </cell>
          <cell r="I16" t="str">
            <v>dattatray_st</v>
          </cell>
          <cell r="J16" t="str">
            <v>Mobility</v>
          </cell>
          <cell r="K16" t="str">
            <v>Pune</v>
          </cell>
          <cell r="L16" t="str">
            <v>Acquisition team</v>
          </cell>
        </row>
        <row r="17">
          <cell r="A17" t="str">
            <v>Gopal</v>
          </cell>
          <cell r="B17" t="str">
            <v xml:space="preserve">Mumbai - Mobility - O&amp;M
</v>
          </cell>
          <cell r="C17" t="str">
            <v>Gopal  Sonkar</v>
          </cell>
          <cell r="D17" t="str">
            <v>gopal@shaurryatele.com</v>
          </cell>
          <cell r="E17" t="str">
            <v>8433656064</v>
          </cell>
          <cell r="F17" t="str">
            <v>Sunil P Bhagwat</v>
          </cell>
          <cell r="G17" t="str">
            <v>gopal_st</v>
          </cell>
          <cell r="H17" t="str">
            <v>Active</v>
          </cell>
          <cell r="I17" t="str">
            <v>sunilb_st</v>
          </cell>
          <cell r="J17" t="str">
            <v>Mobility</v>
          </cell>
          <cell r="K17" t="str">
            <v>Mumbai</v>
          </cell>
          <cell r="L17" t="str">
            <v>O&amp;M</v>
          </cell>
        </row>
        <row r="18">
          <cell r="A18" t="str">
            <v>Hariharan B</v>
          </cell>
          <cell r="B18" t="str">
            <v xml:space="preserve">Bangalore - Enterprise - Project Operation Manager
</v>
          </cell>
          <cell r="C18" t="str">
            <v>Hariharan B</v>
          </cell>
          <cell r="D18" t="str">
            <v>hariharan.b@shaurryatele.com</v>
          </cell>
          <cell r="E18" t="str">
            <v>9108399649</v>
          </cell>
          <cell r="F18" t="str">
            <v>Deepak Nadar</v>
          </cell>
          <cell r="G18" t="str">
            <v>hariharan_st</v>
          </cell>
          <cell r="H18" t="str">
            <v>Active</v>
          </cell>
          <cell r="I18" t="str">
            <v>deepak_sts</v>
          </cell>
          <cell r="J18" t="str">
            <v>Enterprise</v>
          </cell>
          <cell r="K18" t="str">
            <v>Bangalore</v>
          </cell>
          <cell r="L18" t="str">
            <v>Project</v>
          </cell>
        </row>
        <row r="19">
          <cell r="A19" t="str">
            <v>Irrappa Bassapa</v>
          </cell>
          <cell r="B19" t="str">
            <v xml:space="preserve">KTK - Mobility - O&amp;M
</v>
          </cell>
          <cell r="C19" t="str">
            <v>Irrappa Bassapa</v>
          </cell>
          <cell r="D19" t="str">
            <v>irrappa_st_1745326877742@skedulomatic.com</v>
          </cell>
          <cell r="E19" t="str">
            <v>9483795832</v>
          </cell>
          <cell r="F19" t="str">
            <v>Sanjeev Goel</v>
          </cell>
          <cell r="G19" t="str">
            <v>irrappa_st</v>
          </cell>
          <cell r="H19" t="str">
            <v>Active</v>
          </cell>
          <cell r="I19" t="str">
            <v>sanjeevg_st</v>
          </cell>
          <cell r="J19" t="str">
            <v>Mobility</v>
          </cell>
          <cell r="K19" t="str">
            <v>Bengaluru</v>
          </cell>
          <cell r="L19" t="str">
            <v>O&amp;M</v>
          </cell>
        </row>
        <row r="20">
          <cell r="A20" t="str">
            <v>Karim Khan</v>
          </cell>
          <cell r="B20" t="str">
            <v xml:space="preserve">WB - Mobility - Project
</v>
          </cell>
          <cell r="C20" t="str">
            <v>Karim Khan</v>
          </cell>
          <cell r="D20" t="str">
            <v>karim_st_1739511162032@skedulomatic.com</v>
          </cell>
          <cell r="E20" t="str">
            <v>8515863762</v>
          </cell>
          <cell r="F20" t="str">
            <v>Abhiman Ganguly</v>
          </cell>
          <cell r="G20" t="str">
            <v>karim_st</v>
          </cell>
          <cell r="H20" t="str">
            <v>Active</v>
          </cell>
          <cell r="I20" t="str">
            <v>abhiman_st</v>
          </cell>
          <cell r="J20" t="str">
            <v>Mobility</v>
          </cell>
          <cell r="K20" t="str">
            <v>Kolkata</v>
          </cell>
          <cell r="L20" t="str">
            <v>Project</v>
          </cell>
        </row>
        <row r="21">
          <cell r="A21" t="str">
            <v>Kishor Krushna Tegade</v>
          </cell>
          <cell r="B21" t="str">
            <v xml:space="preserve">Mumbai - Mobility - O&amp;M
</v>
          </cell>
          <cell r="C21" t="str">
            <v>Kishor Krushna Tegade</v>
          </cell>
          <cell r="D21" t="str">
            <v>kishor@shaurryatele.com</v>
          </cell>
          <cell r="E21" t="str">
            <v>73025 56851</v>
          </cell>
          <cell r="F21" t="str">
            <v>Sunil P Bhagwat</v>
          </cell>
          <cell r="G21" t="str">
            <v>kishor_st</v>
          </cell>
          <cell r="H21" t="str">
            <v>Active</v>
          </cell>
          <cell r="I21" t="str">
            <v>sunilb_st</v>
          </cell>
          <cell r="J21" t="str">
            <v>Mobility</v>
          </cell>
          <cell r="K21" t="str">
            <v>Mumbai</v>
          </cell>
          <cell r="L21" t="str">
            <v>O&amp;M</v>
          </cell>
        </row>
        <row r="22">
          <cell r="A22" t="str">
            <v>Kuljeet Singh</v>
          </cell>
          <cell r="B22" t="str">
            <v xml:space="preserve">Delhi - Enterprise - Channel Partner Manager
</v>
          </cell>
          <cell r="C22" t="str">
            <v>Kuljeet Singh</v>
          </cell>
          <cell r="D22" t="str">
            <v>kuljeet.singh@shaurryatele.com</v>
          </cell>
          <cell r="E22" t="str">
            <v>9717317777</v>
          </cell>
          <cell r="F22" t="str">
            <v>Deepak Nadar</v>
          </cell>
          <cell r="G22" t="str">
            <v>kuljeet_st</v>
          </cell>
          <cell r="H22" t="str">
            <v>Active</v>
          </cell>
          <cell r="I22" t="str">
            <v>deepak_sts</v>
          </cell>
          <cell r="J22" t="str">
            <v>Enterprise</v>
          </cell>
          <cell r="K22" t="str">
            <v>Gurgaon</v>
          </cell>
          <cell r="L22" t="str">
            <v>O&amp;M</v>
          </cell>
        </row>
        <row r="23">
          <cell r="A23" t="str">
            <v>Mithilesh Kumar</v>
          </cell>
          <cell r="B23" t="str">
            <v xml:space="preserve">Delhi - Mobility - Site Development &amp; Maintenance
</v>
          </cell>
          <cell r="C23" t="str">
            <v>Mithilesh Mishra</v>
          </cell>
          <cell r="D23" t="str">
            <v>mithlesh_st_1727955795944@skedulomatic.com</v>
          </cell>
          <cell r="E23" t="str">
            <v>9315997041</v>
          </cell>
          <cell r="F23" t="str">
            <v>Pankaj Choudhary</v>
          </cell>
          <cell r="G23" t="str">
            <v>mithlesh_st</v>
          </cell>
          <cell r="H23" t="str">
            <v>Active</v>
          </cell>
          <cell r="I23" t="str">
            <v>pankaj_st</v>
          </cell>
          <cell r="J23" t="str">
            <v>Mobility</v>
          </cell>
          <cell r="K23" t="str">
            <v>Delhi</v>
          </cell>
          <cell r="L23" t="str">
            <v>O&amp;M</v>
          </cell>
        </row>
        <row r="24">
          <cell r="A24" t="str">
            <v>Mohd Ishhanque khan</v>
          </cell>
          <cell r="B24" t="str">
            <v xml:space="preserve">Mumbai - Mobility - Acquisition
</v>
          </cell>
          <cell r="C24" t="str">
            <v>Mohd Ishhanque khan</v>
          </cell>
          <cell r="D24" t="str">
            <v>ishhanque_st_1758198048659@skedulomatic.com</v>
          </cell>
          <cell r="E24" t="str">
            <v>7607459251</v>
          </cell>
          <cell r="F24" t="str">
            <v>Sunil P Bhagwat</v>
          </cell>
          <cell r="G24" t="str">
            <v>ishhanque_st</v>
          </cell>
          <cell r="H24" t="str">
            <v>Active</v>
          </cell>
          <cell r="I24" t="str">
            <v>sunilb_st</v>
          </cell>
          <cell r="J24" t="str">
            <v>Mobility</v>
          </cell>
          <cell r="K24" t="str">
            <v>Mumbai</v>
          </cell>
          <cell r="L24" t="str">
            <v>Acquisition team</v>
          </cell>
        </row>
        <row r="25">
          <cell r="A25" t="str">
            <v>Nilesh K Salunke</v>
          </cell>
          <cell r="B25" t="str">
            <v xml:space="preserve">Mumbai - Mobility - Project
</v>
          </cell>
          <cell r="C25" t="str">
            <v>Nilesh K Salunke</v>
          </cell>
          <cell r="D25" t="str">
            <v>nilesh.salunke@shaurryatele.com</v>
          </cell>
          <cell r="E25" t="str">
            <v>9152315709</v>
          </cell>
          <cell r="F25" t="str">
            <v>Sanjeev Goel</v>
          </cell>
          <cell r="G25" t="str">
            <v>nilesh_st</v>
          </cell>
          <cell r="H25" t="str">
            <v>Active</v>
          </cell>
          <cell r="I25" t="str">
            <v>sanjeevg_st</v>
          </cell>
          <cell r="J25" t="str">
            <v>Mobility</v>
          </cell>
          <cell r="K25" t="str">
            <v>Mumbai</v>
          </cell>
          <cell r="L25" t="str">
            <v>Project</v>
          </cell>
        </row>
        <row r="26">
          <cell r="A26" t="str">
            <v>Niranjan M</v>
          </cell>
          <cell r="B26" t="str">
            <v xml:space="preserve">KTK - Mobility - Acquisition
</v>
          </cell>
          <cell r="C26" t="str">
            <v>Niranjan M</v>
          </cell>
          <cell r="D26" t="str">
            <v>niranjan.m@shaurryatele.com</v>
          </cell>
          <cell r="E26" t="str">
            <v>9742241071</v>
          </cell>
          <cell r="F26" t="str">
            <v>Satish Megaraj</v>
          </cell>
          <cell r="G26" t="str">
            <v>niranjan_sts</v>
          </cell>
          <cell r="H26" t="str">
            <v>Active</v>
          </cell>
          <cell r="I26" t="str">
            <v>satish_st</v>
          </cell>
          <cell r="J26" t="str">
            <v>Mobility</v>
          </cell>
          <cell r="K26" t="str">
            <v>Bangalore</v>
          </cell>
          <cell r="L26" t="str">
            <v>Acquisition team</v>
          </cell>
        </row>
        <row r="27">
          <cell r="A27" t="str">
            <v>Pankaj Chaudhary</v>
          </cell>
          <cell r="B27" t="str">
            <v xml:space="preserve">Delhi - Mobility - Site Development &amp; Maintenance
</v>
          </cell>
          <cell r="C27" t="str">
            <v>Pankaj Chaudhary</v>
          </cell>
          <cell r="D27" t="str">
            <v>pankaj@shaurryatele.com</v>
          </cell>
          <cell r="E27" t="str">
            <v>6397156643</v>
          </cell>
          <cell r="F27" t="str">
            <v>Pankaj Choudhary</v>
          </cell>
          <cell r="G27" t="str">
            <v>pankaj_st</v>
          </cell>
          <cell r="H27" t="str">
            <v>Active</v>
          </cell>
          <cell r="I27" t="str">
            <v>saurabh_st</v>
          </cell>
          <cell r="J27" t="str">
            <v>Mobility</v>
          </cell>
          <cell r="K27" t="str">
            <v>Delhi</v>
          </cell>
          <cell r="L27" t="str">
            <v>O&amp;M</v>
          </cell>
        </row>
        <row r="28">
          <cell r="A28" t="str">
            <v>Piyush Khobragade</v>
          </cell>
          <cell r="B28" t="str">
            <v xml:space="preserve">MPGC - Mobility - Manager National Sales Head / Circle Head </v>
          </cell>
          <cell r="C28" t="str">
            <v>Piyush Khobragade</v>
          </cell>
          <cell r="D28" t="str">
            <v>piyush.khobragade@shaurryatele.com</v>
          </cell>
          <cell r="E28" t="str">
            <v>9773459073</v>
          </cell>
          <cell r="F28" t="str">
            <v>Sanjeev Goel</v>
          </cell>
          <cell r="G28" t="str">
            <v>piyush_st</v>
          </cell>
          <cell r="H28" t="str">
            <v>Active</v>
          </cell>
          <cell r="I28" t="str">
            <v>sanjeevg_st</v>
          </cell>
          <cell r="J28" t="str">
            <v>Mobility</v>
          </cell>
          <cell r="K28" t="str">
            <v>Indore</v>
          </cell>
          <cell r="L28" t="str">
            <v>Business</v>
          </cell>
        </row>
        <row r="29">
          <cell r="A29" t="str">
            <v>Prabhakar Gopalrao Gaikwad</v>
          </cell>
          <cell r="B29" t="str">
            <v xml:space="preserve">MH - Mobility - Acquisition
</v>
          </cell>
          <cell r="C29" t="str">
            <v>Prabhakar Gopalrao Gaikwad</v>
          </cell>
          <cell r="D29" t="str">
            <v>prabhakar.gaikwad@shaurryatele.com</v>
          </cell>
          <cell r="E29" t="str">
            <v>8421907247</v>
          </cell>
          <cell r="F29" t="str">
            <v>Dattatray Ganpat Ranmakar</v>
          </cell>
          <cell r="G29" t="str">
            <v>prabhakar_st</v>
          </cell>
          <cell r="H29" t="str">
            <v>Active</v>
          </cell>
          <cell r="I29" t="str">
            <v>dattatray_st</v>
          </cell>
          <cell r="J29" t="str">
            <v>Mobility</v>
          </cell>
          <cell r="K29" t="str">
            <v>Pune</v>
          </cell>
          <cell r="L29" t="str">
            <v>Acquisition team</v>
          </cell>
        </row>
        <row r="30">
          <cell r="A30" t="str">
            <v>Pradeep Rajoria</v>
          </cell>
          <cell r="B30" t="str">
            <v xml:space="preserve">Mumbai - Mobility - Acquisition
</v>
          </cell>
          <cell r="C30" t="str">
            <v>Pradeep  Brahampal Rajoria</v>
          </cell>
          <cell r="D30" t="str">
            <v>pradeep_st_1727956593622@skedulomatic.com</v>
          </cell>
          <cell r="E30" t="str">
            <v>9920219221</v>
          </cell>
          <cell r="F30" t="str">
            <v>Sunil P Bhagwat</v>
          </cell>
          <cell r="G30" t="str">
            <v>pradeep_st</v>
          </cell>
          <cell r="H30" t="str">
            <v>Active</v>
          </cell>
          <cell r="I30" t="str">
            <v>sunilb_st</v>
          </cell>
          <cell r="J30" t="str">
            <v>Mobility</v>
          </cell>
          <cell r="K30" t="str">
            <v>Mumbai</v>
          </cell>
          <cell r="L30" t="str">
            <v>Acquisition team</v>
          </cell>
        </row>
        <row r="31">
          <cell r="A31" t="str">
            <v xml:space="preserve">Raghvendra </v>
          </cell>
          <cell r="B31" t="str">
            <v xml:space="preserve">Delhi - Mobility - Acquisition
</v>
          </cell>
          <cell r="C31" t="str">
            <v>Raghvendra Kumar</v>
          </cell>
          <cell r="D31" t="str">
            <v>raghvendra@shaurryatele.com</v>
          </cell>
          <cell r="E31" t="str">
            <v>9643084384</v>
          </cell>
          <cell r="F31" t="str">
            <v>Saurabh Gupta</v>
          </cell>
          <cell r="G31" t="str">
            <v>raghvendra_st</v>
          </cell>
          <cell r="H31" t="str">
            <v>Active</v>
          </cell>
          <cell r="I31" t="str">
            <v>saurabh_st</v>
          </cell>
          <cell r="J31" t="str">
            <v>Mobility</v>
          </cell>
          <cell r="K31" t="str">
            <v>Delhi</v>
          </cell>
          <cell r="L31" t="str">
            <v>Acquisition team</v>
          </cell>
        </row>
        <row r="32">
          <cell r="A32" t="str">
            <v>Rajesh Shukla</v>
          </cell>
          <cell r="B32" t="str">
            <v xml:space="preserve">UPW - Mobility - Circle Head
</v>
          </cell>
          <cell r="C32" t="str">
            <v>Rajesh Shukla</v>
          </cell>
          <cell r="D32" t="str">
            <v>rajesh.shukla@shaurryatele.com</v>
          </cell>
          <cell r="E32" t="str">
            <v>8826162006</v>
          </cell>
          <cell r="F32" t="str">
            <v>Rajesh Shukla</v>
          </cell>
          <cell r="G32" t="str">
            <v>rajesh_sts</v>
          </cell>
          <cell r="H32" t="str">
            <v>Active</v>
          </cell>
          <cell r="I32" t="str">
            <v>sanjeevg_st</v>
          </cell>
          <cell r="J32" t="str">
            <v>Mobility</v>
          </cell>
          <cell r="K32" t="str">
            <v>Delhi</v>
          </cell>
          <cell r="L32" t="str">
            <v>Business</v>
          </cell>
        </row>
        <row r="33">
          <cell r="A33" t="str">
            <v>Rajnish Nimbark</v>
          </cell>
          <cell r="B33" t="str">
            <v>GUJ - Mobility - Circle Head</v>
          </cell>
          <cell r="C33" t="str">
            <v>Rajnish Nimbark</v>
          </cell>
          <cell r="D33" t="str">
            <v>rajnish_st_1739513541727@skedulomatic.com</v>
          </cell>
          <cell r="E33" t="str">
            <v>7226080870</v>
          </cell>
          <cell r="F33" t="str">
            <v>Rajnish Nimbark</v>
          </cell>
          <cell r="G33" t="str">
            <v>rajnish_st</v>
          </cell>
          <cell r="H33" t="str">
            <v>Active</v>
          </cell>
          <cell r="I33" t="str">
            <v>sanjeevg_st</v>
          </cell>
          <cell r="J33" t="str">
            <v>Mobility</v>
          </cell>
          <cell r="K33" t="str">
            <v>Ahmedabad</v>
          </cell>
          <cell r="L33" t="str">
            <v>Business</v>
          </cell>
        </row>
        <row r="34">
          <cell r="A34" t="str">
            <v>RATAN BAHADHUR SINGH</v>
          </cell>
          <cell r="B34" t="str">
            <v xml:space="preserve">Mumbai - Mobility - O&amp;M
</v>
          </cell>
          <cell r="C34" t="str">
            <v>RATAN BAHADHUR SINGH</v>
          </cell>
          <cell r="D34" t="str">
            <v>ratan_st_1745327045077@skedulomatic.com</v>
          </cell>
          <cell r="E34" t="str">
            <v>7208501421</v>
          </cell>
          <cell r="F34" t="str">
            <v>Sunil P Bhagwat</v>
          </cell>
          <cell r="G34" t="str">
            <v>ratan_st</v>
          </cell>
          <cell r="H34" t="str">
            <v>Active</v>
          </cell>
          <cell r="I34" t="str">
            <v>sunilb_st</v>
          </cell>
          <cell r="J34" t="str">
            <v>Mobility</v>
          </cell>
          <cell r="K34" t="str">
            <v>Mumbai</v>
          </cell>
          <cell r="L34" t="str">
            <v>O&amp;M</v>
          </cell>
        </row>
        <row r="35">
          <cell r="A35" t="str">
            <v>RUPESH YASHWANT RANE</v>
          </cell>
          <cell r="B35" t="str">
            <v>Mumbai - Mobility - Project</v>
          </cell>
          <cell r="C35" t="str">
            <v>RUPESH YASHWANT RANE</v>
          </cell>
          <cell r="D35" t="str">
            <v>rupeshrane1582@gmail.com</v>
          </cell>
          <cell r="E35" t="str">
            <v>80976 18466</v>
          </cell>
          <cell r="F35" t="str">
            <v>Sunil P Bhagwat</v>
          </cell>
          <cell r="G35" t="str">
            <v>rupesh_st</v>
          </cell>
          <cell r="H35" t="str">
            <v>Active</v>
          </cell>
          <cell r="I35" t="str">
            <v>sunilb_st</v>
          </cell>
          <cell r="J35" t="str">
            <v>Mobility</v>
          </cell>
          <cell r="K35" t="str">
            <v>Mumbai</v>
          </cell>
          <cell r="L35" t="str">
            <v>O&amp;M</v>
          </cell>
        </row>
        <row r="36">
          <cell r="A36" t="str">
            <v>Sachin Mahade</v>
          </cell>
          <cell r="B36" t="str">
            <v xml:space="preserve">Mumbai - Mobility - O&amp;M
</v>
          </cell>
          <cell r="C36" t="str">
            <v>Sachin Mahade</v>
          </cell>
          <cell r="D36" t="str">
            <v>sachin@shaurryatele.com</v>
          </cell>
          <cell r="E36" t="str">
            <v>8898214454</v>
          </cell>
          <cell r="F36" t="str">
            <v>Sunil P Bhagwat</v>
          </cell>
          <cell r="G36" t="str">
            <v>sachin_st</v>
          </cell>
          <cell r="H36" t="str">
            <v>Active</v>
          </cell>
          <cell r="I36" t="str">
            <v>sunilb_st</v>
          </cell>
          <cell r="J36" t="str">
            <v>Mobility</v>
          </cell>
          <cell r="K36" t="str">
            <v>Mumbai</v>
          </cell>
          <cell r="L36" t="str">
            <v>O&amp;M</v>
          </cell>
        </row>
        <row r="37">
          <cell r="A37" t="str">
            <v>Sachin Verma</v>
          </cell>
          <cell r="B37" t="str">
            <v xml:space="preserve">Delhi - IBS - HOD
</v>
          </cell>
          <cell r="C37" t="str">
            <v>Sachin Verma</v>
          </cell>
          <cell r="D37" t="str">
            <v>sachin.verma@shaurryatele.com</v>
          </cell>
          <cell r="E37" t="str">
            <v>9650691288</v>
          </cell>
          <cell r="F37" t="str">
            <v>Sachin Verma</v>
          </cell>
          <cell r="G37" t="str">
            <v>sachin_sts</v>
          </cell>
          <cell r="H37" t="str">
            <v>Active</v>
          </cell>
          <cell r="I37" t="str">
            <v>admin_shaurrya</v>
          </cell>
          <cell r="J37" t="str">
            <v>IBS</v>
          </cell>
          <cell r="K37" t="str">
            <v>Gurugram</v>
          </cell>
          <cell r="L37" t="str">
            <v>Business</v>
          </cell>
        </row>
        <row r="38">
          <cell r="A38" t="str">
            <v>Sagar Gurav</v>
          </cell>
          <cell r="B38" t="str">
            <v>Mumbai Mobility--Acquisition</v>
          </cell>
          <cell r="C38" t="str">
            <v>Sagar Deepak Gurav</v>
          </cell>
          <cell r="D38" t="str">
            <v>sagardg3@gmail.com</v>
          </cell>
          <cell r="E38" t="str">
            <v>99202 31338</v>
          </cell>
          <cell r="F38" t="str">
            <v>Sunil P Bhagwat</v>
          </cell>
          <cell r="G38" t="str">
            <v>sagar_st</v>
          </cell>
          <cell r="H38" t="str">
            <v>Active</v>
          </cell>
          <cell r="I38" t="str">
            <v>sunilb_st</v>
          </cell>
          <cell r="J38" t="str">
            <v>Mobility</v>
          </cell>
          <cell r="K38" t="str">
            <v>Mumbai</v>
          </cell>
          <cell r="L38" t="str">
            <v>Acquisition team</v>
          </cell>
        </row>
        <row r="39">
          <cell r="A39" t="str">
            <v>Sagar Kanubhai Sarvaiya</v>
          </cell>
          <cell r="B39" t="str">
            <v xml:space="preserve">GUJ - Mobility - Acquisition
</v>
          </cell>
          <cell r="C39" t="str">
            <v>Sagar Kanubhai</v>
          </cell>
          <cell r="D39" t="str">
            <v>sagar.k.sarvaiya123@gmail.com</v>
          </cell>
          <cell r="E39" t="str">
            <v>8000012005</v>
          </cell>
          <cell r="F39" t="str">
            <v>Rajnish Nimbark</v>
          </cell>
          <cell r="G39" t="str">
            <v>sagark_st</v>
          </cell>
          <cell r="H39" t="str">
            <v>Active</v>
          </cell>
          <cell r="I39" t="str">
            <v>rajnish_st</v>
          </cell>
          <cell r="J39" t="str">
            <v>Mobility</v>
          </cell>
          <cell r="K39" t="str">
            <v>Surat</v>
          </cell>
          <cell r="L39" t="str">
            <v>Acquisition team</v>
          </cell>
        </row>
        <row r="40">
          <cell r="A40" t="str">
            <v>Sandeep Rana</v>
          </cell>
          <cell r="B40" t="str">
            <v xml:space="preserve">UPE - Mobility - Circle Head
</v>
          </cell>
          <cell r="C40" t="str">
            <v>Sandeep Rana</v>
          </cell>
          <cell r="D40" t="str">
            <v>sandeep@shaurryatele.com</v>
          </cell>
          <cell r="E40" t="str">
            <v>8767249333</v>
          </cell>
          <cell r="F40" t="str">
            <v>Sandeep Rana</v>
          </cell>
          <cell r="G40" t="str">
            <v>sandeep_st</v>
          </cell>
          <cell r="H40" t="str">
            <v>Active</v>
          </cell>
          <cell r="I40" t="str">
            <v>sanjeevg_st</v>
          </cell>
          <cell r="J40" t="str">
            <v>Mobility</v>
          </cell>
          <cell r="K40" t="str">
            <v>Lucknow</v>
          </cell>
          <cell r="L40" t="str">
            <v>Business</v>
          </cell>
        </row>
        <row r="41">
          <cell r="A41" t="str">
            <v>Sanjeev S Panwar</v>
          </cell>
          <cell r="B41" t="str">
            <v xml:space="preserve">Delhi - Enterprise - Site Development &amp; maintenance FTTH
</v>
          </cell>
          <cell r="C41" t="str">
            <v>Sanjeev S Panwar</v>
          </cell>
          <cell r="D41" t="str">
            <v>sanjeev_st_1727956264840@skedulomatic.com</v>
          </cell>
          <cell r="E41" t="str">
            <v>9810677609</v>
          </cell>
          <cell r="F41" t="str">
            <v>Pankaj Gaurav</v>
          </cell>
          <cell r="G41" t="str">
            <v>sanjeev_st</v>
          </cell>
          <cell r="H41" t="str">
            <v>Active</v>
          </cell>
          <cell r="I41" t="str">
            <v>pankajg_st</v>
          </cell>
          <cell r="J41" t="str">
            <v>Enterprise</v>
          </cell>
          <cell r="K41" t="str">
            <v>Delhi</v>
          </cell>
          <cell r="L41" t="str">
            <v>O&amp;M</v>
          </cell>
        </row>
        <row r="42">
          <cell r="A42" t="str">
            <v>Satish Megaraj</v>
          </cell>
          <cell r="B42" t="str">
            <v xml:space="preserve">KTK - Mobility - Circle Head
</v>
          </cell>
          <cell r="C42" t="str">
            <v>Satish Megaraj</v>
          </cell>
          <cell r="D42" t="str">
            <v>satish_st_1758197722815@skedulomatic.com</v>
          </cell>
          <cell r="E42" t="str">
            <v>9538886655</v>
          </cell>
          <cell r="F42" t="str">
            <v>Satish Megaraj</v>
          </cell>
          <cell r="G42" t="str">
            <v>satish_st</v>
          </cell>
          <cell r="H42" t="str">
            <v>Active</v>
          </cell>
          <cell r="I42" t="str">
            <v>sanjeevg_st</v>
          </cell>
          <cell r="J42" t="str">
            <v>Mobility</v>
          </cell>
          <cell r="K42" t="str">
            <v>Bangalore</v>
          </cell>
          <cell r="L42" t="str">
            <v>Business</v>
          </cell>
        </row>
        <row r="43">
          <cell r="A43" t="str">
            <v>Satwinder Pal Jagotra</v>
          </cell>
          <cell r="B43" t="str">
            <v xml:space="preserve">Delhi - IBS - Business Coordinator
</v>
          </cell>
          <cell r="C43" t="str">
            <v>Satwinder Pal Jagotra</v>
          </cell>
          <cell r="D43" t="str">
            <v>satwinder.jagotra@shaurryatele.com</v>
          </cell>
          <cell r="E43" t="str">
            <v>9873395301</v>
          </cell>
          <cell r="F43" t="str">
            <v>Sachin Verma</v>
          </cell>
          <cell r="G43" t="str">
            <v>satwinder_sts</v>
          </cell>
          <cell r="H43" t="str">
            <v>Active</v>
          </cell>
          <cell r="I43" t="str">
            <v>sachin_sts</v>
          </cell>
          <cell r="J43" t="str">
            <v>IBS</v>
          </cell>
          <cell r="K43" t="str">
            <v>Delhi</v>
          </cell>
          <cell r="L43" t="str">
            <v>Business</v>
          </cell>
        </row>
        <row r="44">
          <cell r="A44" t="str">
            <v>Saurabh Gupta</v>
          </cell>
          <cell r="B44" t="str">
            <v xml:space="preserve">Delhi - Mobility - Circle Head
</v>
          </cell>
          <cell r="C44" t="str">
            <v>Saurabh Gupta</v>
          </cell>
          <cell r="D44" t="str">
            <v>saurabhgupta@shaurryatele.com</v>
          </cell>
          <cell r="E44" t="str">
            <v>99900 09220</v>
          </cell>
          <cell r="F44" t="str">
            <v>Saurabh Gupta</v>
          </cell>
          <cell r="G44" t="str">
            <v>saurabh_st</v>
          </cell>
          <cell r="H44" t="str">
            <v>Active</v>
          </cell>
          <cell r="I44" t="str">
            <v>sanjeevg_st</v>
          </cell>
          <cell r="J44" t="str">
            <v>Mobility</v>
          </cell>
          <cell r="K44" t="str">
            <v>Delhi</v>
          </cell>
          <cell r="L44" t="str">
            <v>Business</v>
          </cell>
        </row>
        <row r="45">
          <cell r="A45" t="str">
            <v>Shabbir Khan</v>
          </cell>
          <cell r="B45" t="str">
            <v>Channel Partner Manager</v>
          </cell>
          <cell r="C45" t="str">
            <v>Shabbir Khan</v>
          </cell>
          <cell r="D45" t="str">
            <v>shabbir.khan@shaurryatele.com</v>
          </cell>
          <cell r="E45" t="str">
            <v>+91-9967794002</v>
          </cell>
          <cell r="F45" t="str">
            <v>Deepak Nadar</v>
          </cell>
          <cell r="G45" t="str">
            <v>shabbir_st</v>
          </cell>
          <cell r="H45" t="str">
            <v>Active</v>
          </cell>
          <cell r="I45" t="str">
            <v>deepak_sts</v>
          </cell>
          <cell r="J45" t="str">
            <v>Enterprise</v>
          </cell>
          <cell r="K45" t="str">
            <v>Navi Mumbai</v>
          </cell>
          <cell r="L45" t="str">
            <v>Business</v>
          </cell>
        </row>
        <row r="46">
          <cell r="A46" t="str">
            <v>Shivanshu Dubey</v>
          </cell>
          <cell r="B46" t="str">
            <v xml:space="preserve">Delhi - Mobility - O&amp;M
</v>
          </cell>
          <cell r="C46" t="str">
            <v>Shivanshu Dubey</v>
          </cell>
          <cell r="D46" t="str">
            <v>shivanshudubey640@gmail.com</v>
          </cell>
          <cell r="E46" t="str">
            <v>6392031410</v>
          </cell>
          <cell r="F46" t="str">
            <v>Pankaj Choudhary</v>
          </cell>
          <cell r="G46" t="str">
            <v>shivanshu_st</v>
          </cell>
          <cell r="H46" t="str">
            <v>Active</v>
          </cell>
          <cell r="I46" t="str">
            <v>pankaj_st</v>
          </cell>
          <cell r="J46" t="str">
            <v>Mobility</v>
          </cell>
          <cell r="K46" t="str">
            <v>Gurgaon</v>
          </cell>
          <cell r="L46" t="str">
            <v>O&amp;M</v>
          </cell>
        </row>
        <row r="47">
          <cell r="A47" t="str">
            <v>Sibayan Ghosh</v>
          </cell>
          <cell r="B47" t="str">
            <v xml:space="preserve">WB - Enterprise - Channel Partner Manager
</v>
          </cell>
          <cell r="C47" t="str">
            <v>Sibayan Ghosh</v>
          </cell>
          <cell r="D47" t="str">
            <v>sibayan.ghosh@shaurryatele.com</v>
          </cell>
          <cell r="E47" t="str">
            <v>9831049524</v>
          </cell>
          <cell r="F47" t="str">
            <v>Abhiman Ganguly</v>
          </cell>
          <cell r="G47" t="str">
            <v>sibayan_st</v>
          </cell>
          <cell r="H47" t="str">
            <v>Active</v>
          </cell>
          <cell r="I47" t="str">
            <v>abhiman_st</v>
          </cell>
          <cell r="J47" t="str">
            <v>Enterprise</v>
          </cell>
          <cell r="K47" t="str">
            <v>Kolkata</v>
          </cell>
          <cell r="L47" t="str">
            <v>O&amp;M</v>
          </cell>
        </row>
        <row r="48">
          <cell r="A48" t="str">
            <v>Sudarshan Ramrao Tigote</v>
          </cell>
          <cell r="B48" t="str">
            <v xml:space="preserve">Mumbai - Enterprise - Network Operation Engineer -DBS
</v>
          </cell>
          <cell r="C48" t="str">
            <v>Sudarshan Ramrao Tigote</v>
          </cell>
          <cell r="D48" t="str">
            <v>sudarshan.tigote@shaurryatele.com</v>
          </cell>
          <cell r="E48" t="str">
            <v>9405606073</v>
          </cell>
          <cell r="F48" t="str">
            <v>Deepak Nadar</v>
          </cell>
          <cell r="G48" t="str">
            <v>sudarshan_st</v>
          </cell>
          <cell r="H48" t="str">
            <v>Active</v>
          </cell>
          <cell r="I48" t="str">
            <v>deepak_sts</v>
          </cell>
          <cell r="J48" t="str">
            <v xml:space="preserve">Enterprise </v>
          </cell>
          <cell r="K48" t="str">
            <v>Mumbai</v>
          </cell>
          <cell r="L48" t="str">
            <v>Project</v>
          </cell>
        </row>
        <row r="49">
          <cell r="A49" t="str">
            <v>Sunil P Bhagwat</v>
          </cell>
          <cell r="B49" t="str">
            <v xml:space="preserve">Mumbai - Mobility - Circle Head
</v>
          </cell>
          <cell r="C49" t="str">
            <v>Sunil P Bhagwat</v>
          </cell>
          <cell r="D49" t="str">
            <v>sunilb_st_1745327334626@skedulomatic.com</v>
          </cell>
          <cell r="E49" t="str">
            <v>8108779091</v>
          </cell>
          <cell r="F49" t="str">
            <v>Sunil P Bhagwat</v>
          </cell>
          <cell r="G49" t="str">
            <v>sunilb_st</v>
          </cell>
          <cell r="H49" t="str">
            <v>Active</v>
          </cell>
          <cell r="I49" t="str">
            <v>sanjeevg_st</v>
          </cell>
          <cell r="J49" t="str">
            <v>Mobility</v>
          </cell>
          <cell r="K49" t="str">
            <v>Mumbai</v>
          </cell>
          <cell r="L49" t="str">
            <v>Business</v>
          </cell>
        </row>
        <row r="50">
          <cell r="A50" t="str">
            <v>Sunpreet Singh</v>
          </cell>
          <cell r="B50" t="str">
            <v xml:space="preserve">Mumbai - Mobility - Acquisition
</v>
          </cell>
          <cell r="C50" t="str">
            <v>Sunpreet Singh</v>
          </cell>
          <cell r="D50" t="str">
            <v>sunpreet_st_1758197888394@skedulomatic.com</v>
          </cell>
          <cell r="E50" t="str">
            <v>8168449570</v>
          </cell>
          <cell r="F50" t="str">
            <v>Saurabh Gupta</v>
          </cell>
          <cell r="G50" t="str">
            <v>sunpreet_st</v>
          </cell>
          <cell r="H50" t="str">
            <v>Active</v>
          </cell>
          <cell r="I50" t="str">
            <v>saurabh_st</v>
          </cell>
          <cell r="J50" t="str">
            <v>Mobility</v>
          </cell>
          <cell r="K50" t="str">
            <v>Mohali</v>
          </cell>
          <cell r="L50" t="str">
            <v>Acquisition team</v>
          </cell>
        </row>
        <row r="51">
          <cell r="A51" t="str">
            <v>Suresh Gowda</v>
          </cell>
          <cell r="B51" t="str">
            <v xml:space="preserve">KTK - Mobility - Project
</v>
          </cell>
          <cell r="C51" t="str">
            <v>Suresh Gowda</v>
          </cell>
          <cell r="D51" t="str">
            <v>suresh_st_1735204178256@skedulomatic.com</v>
          </cell>
          <cell r="E51" t="str">
            <v>9845460610</v>
          </cell>
          <cell r="F51" t="str">
            <v>Suresh Gowda</v>
          </cell>
          <cell r="G51" t="str">
            <v>suresh_st</v>
          </cell>
          <cell r="H51" t="str">
            <v>Active</v>
          </cell>
          <cell r="I51" t="str">
            <v>sanjeevg_st</v>
          </cell>
          <cell r="J51" t="str">
            <v>Mobility</v>
          </cell>
          <cell r="K51" t="str">
            <v>Bengaluru</v>
          </cell>
          <cell r="L51" t="str">
            <v>Project</v>
          </cell>
        </row>
        <row r="52">
          <cell r="A52" t="str">
            <v>Sushank Rajendra Mohakar</v>
          </cell>
          <cell r="B52" t="str">
            <v xml:space="preserve">Mumbai - Mobility - Acquisition
</v>
          </cell>
          <cell r="C52" t="str">
            <v>Sushank Rajendra Mohakar</v>
          </cell>
          <cell r="D52" t="str">
            <v>sushm01990@gmail.com</v>
          </cell>
          <cell r="E52" t="str">
            <v>9999999999</v>
          </cell>
          <cell r="F52" t="str">
            <v>Sunil P Bhagwat</v>
          </cell>
          <cell r="G52" t="str">
            <v>sushank_sts</v>
          </cell>
          <cell r="H52" t="str">
            <v>Active</v>
          </cell>
          <cell r="I52" t="str">
            <v>sunilb_st</v>
          </cell>
          <cell r="J52" t="str">
            <v>Mobility</v>
          </cell>
          <cell r="K52" t="str">
            <v>Mumbai</v>
          </cell>
          <cell r="L52" t="str">
            <v>Acquisition team</v>
          </cell>
        </row>
        <row r="53">
          <cell r="A53" t="str">
            <v>Suyog</v>
          </cell>
          <cell r="B53" t="str">
            <v>Mumbai Mobility--O&amp;M</v>
          </cell>
          <cell r="C53" t="str">
            <v>Suyog Laxman Kajare</v>
          </cell>
          <cell r="D53" t="str">
            <v>suyog@shaurryatele.com</v>
          </cell>
          <cell r="E53" t="str">
            <v>9833144457</v>
          </cell>
          <cell r="F53" t="str">
            <v>Sunil P Bhagwat</v>
          </cell>
          <cell r="G53" t="str">
            <v>suyog_st</v>
          </cell>
          <cell r="H53" t="str">
            <v>Active</v>
          </cell>
          <cell r="I53" t="str">
            <v>sunilb_st</v>
          </cell>
          <cell r="J53" t="str">
            <v>Mobility</v>
          </cell>
          <cell r="K53" t="str">
            <v>Mumbai</v>
          </cell>
          <cell r="L53" t="str">
            <v>O&amp;M</v>
          </cell>
        </row>
        <row r="54">
          <cell r="A54" t="str">
            <v>Vineet Rajpoot</v>
          </cell>
          <cell r="B54" t="str">
            <v xml:space="preserve">Delhi - Mobility - Acquisition
</v>
          </cell>
          <cell r="C54" t="str">
            <v>Vineet Rajpoot</v>
          </cell>
          <cell r="D54" t="str">
            <v>vineet_st_1745327524275@skedulomatic.com</v>
          </cell>
          <cell r="E54" t="str">
            <v>9717185678</v>
          </cell>
          <cell r="F54" t="str">
            <v>Saurabh Gupta</v>
          </cell>
          <cell r="G54" t="str">
            <v>vineet_st</v>
          </cell>
          <cell r="H54" t="str">
            <v>Active</v>
          </cell>
          <cell r="I54" t="str">
            <v>saurabh_st</v>
          </cell>
          <cell r="J54" t="str">
            <v>Mobility</v>
          </cell>
          <cell r="K54" t="str">
            <v>Delhi</v>
          </cell>
          <cell r="L54" t="str">
            <v>Acquisition team</v>
          </cell>
        </row>
        <row r="55">
          <cell r="A55" t="str">
            <v>Yogesh Naykodi</v>
          </cell>
          <cell r="B55" t="str">
            <v xml:space="preserve">MH - Mobility - Acquisition
</v>
          </cell>
          <cell r="C55" t="str">
            <v>Yogesh Naykodi</v>
          </cell>
          <cell r="D55" t="str">
            <v>yb.naykodi@gmail.com</v>
          </cell>
          <cell r="E55" t="str">
            <v>9975894886</v>
          </cell>
          <cell r="F55" t="str">
            <v>Dattatray Ganpat Ranmakar</v>
          </cell>
          <cell r="G55" t="str">
            <v>yogesh_naykodi_st</v>
          </cell>
          <cell r="H55" t="str">
            <v>Active</v>
          </cell>
          <cell r="I55" t="str">
            <v>dattatray_st</v>
          </cell>
          <cell r="J55" t="str">
            <v>Mobility</v>
          </cell>
          <cell r="K55" t="str">
            <v>Pune</v>
          </cell>
          <cell r="L55" t="str">
            <v>Acquisition team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0BF6-1E95-45AA-B09E-701102D03E99}">
  <dimension ref="A1:J52"/>
  <sheetViews>
    <sheetView tabSelected="1" topLeftCell="B1" workbookViewId="0">
      <selection activeCell="D1" sqref="D1:F1"/>
    </sheetView>
  </sheetViews>
  <sheetFormatPr defaultRowHeight="14.4"/>
  <cols>
    <col min="1" max="1" width="6.109375" bestFit="1" customWidth="1"/>
    <col min="2" max="2" width="25.109375" bestFit="1" customWidth="1"/>
    <col min="3" max="3" width="16.33203125" bestFit="1" customWidth="1"/>
    <col min="4" max="4" width="11.77734375" bestFit="1" customWidth="1"/>
    <col min="5" max="5" width="20.6640625" bestFit="1" customWidth="1"/>
    <col min="6" max="6" width="10.88671875" customWidth="1"/>
    <col min="7" max="7" width="14" bestFit="1" customWidth="1"/>
    <col min="8" max="8" width="13" bestFit="1" customWidth="1"/>
    <col min="9" max="9" width="21.44140625" bestFit="1" customWidth="1"/>
    <col min="10" max="10" width="12.109375" bestFit="1" customWidth="1"/>
  </cols>
  <sheetData>
    <row r="1" spans="1:10">
      <c r="A1" s="12" t="s">
        <v>123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9">
        <v>46092</v>
      </c>
      <c r="H1" s="10" t="s">
        <v>119</v>
      </c>
      <c r="I1" s="10" t="s">
        <v>120</v>
      </c>
      <c r="J1" s="11" t="s">
        <v>104</v>
      </c>
    </row>
    <row r="2" spans="1:10">
      <c r="A2" s="4">
        <v>1</v>
      </c>
      <c r="B2" s="1" t="s">
        <v>5</v>
      </c>
      <c r="C2" s="1" t="s">
        <v>6</v>
      </c>
      <c r="D2" s="1" t="s">
        <v>7</v>
      </c>
      <c r="E2" s="1" t="str">
        <f>VLOOKUP(B2,[1]Data!$A:$J,10,0)</f>
        <v>Mobility</v>
      </c>
      <c r="F2" s="1" t="str">
        <f>VLOOKUP(B2,[1]Data!$A:$L,12,0)</f>
        <v>Business</v>
      </c>
      <c r="G2" s="1"/>
      <c r="H2" s="4"/>
      <c r="I2" s="4"/>
      <c r="J2" s="4"/>
    </row>
    <row r="3" spans="1:10">
      <c r="A3" s="4">
        <v>2</v>
      </c>
      <c r="B3" s="1" t="s">
        <v>8</v>
      </c>
      <c r="C3" s="1" t="s">
        <v>9</v>
      </c>
      <c r="D3" s="1" t="s">
        <v>10</v>
      </c>
      <c r="E3" s="1" t="str">
        <f>VLOOKUP(B3,[1]Data!$A:$J,10,0)</f>
        <v>Mobility</v>
      </c>
      <c r="F3" s="1" t="str">
        <f>VLOOKUP(B3,[1]Data!$A:$L,12,0)</f>
        <v>O&amp;M</v>
      </c>
      <c r="G3" s="1"/>
      <c r="H3" s="4"/>
      <c r="I3" s="4"/>
      <c r="J3" s="4"/>
    </row>
    <row r="4" spans="1:10">
      <c r="A4" s="4">
        <v>3</v>
      </c>
      <c r="B4" s="1" t="s">
        <v>11</v>
      </c>
      <c r="C4" s="1" t="s">
        <v>12</v>
      </c>
      <c r="D4" s="1" t="s">
        <v>13</v>
      </c>
      <c r="E4" s="1" t="str">
        <f>VLOOKUP(B4,[1]Data!$A:$J,10,0)</f>
        <v>Mobility</v>
      </c>
      <c r="F4" s="1" t="s">
        <v>14</v>
      </c>
      <c r="G4" s="1"/>
      <c r="H4" s="4"/>
      <c r="I4" s="4"/>
      <c r="J4" s="4"/>
    </row>
    <row r="5" spans="1:10">
      <c r="A5" s="4">
        <v>4</v>
      </c>
      <c r="B5" s="1" t="s">
        <v>15</v>
      </c>
      <c r="C5" s="1" t="s">
        <v>16</v>
      </c>
      <c r="D5" s="1" t="s">
        <v>13</v>
      </c>
      <c r="E5" s="2" t="s">
        <v>17</v>
      </c>
      <c r="F5" s="2" t="s">
        <v>18</v>
      </c>
      <c r="G5" s="1"/>
      <c r="H5" s="4"/>
      <c r="I5" s="4"/>
      <c r="J5" s="4"/>
    </row>
    <row r="6" spans="1:10">
      <c r="A6" s="4">
        <v>5</v>
      </c>
      <c r="B6" s="1" t="s">
        <v>19</v>
      </c>
      <c r="C6" s="1" t="s">
        <v>20</v>
      </c>
      <c r="D6" s="1" t="s">
        <v>21</v>
      </c>
      <c r="E6" s="1" t="str">
        <f>VLOOKUP(B6,[1]Data!$A:$J,10,0)</f>
        <v>Mobility</v>
      </c>
      <c r="F6" s="1" t="str">
        <f>VLOOKUP(B6,[1]Data!$A:$L,12,0)</f>
        <v>O&amp;M</v>
      </c>
      <c r="G6" s="1"/>
      <c r="H6" s="4"/>
      <c r="I6" s="4"/>
      <c r="J6" s="4"/>
    </row>
    <row r="7" spans="1:10">
      <c r="A7" s="4">
        <v>6</v>
      </c>
      <c r="B7" s="1" t="s">
        <v>22</v>
      </c>
      <c r="C7" s="1" t="s">
        <v>23</v>
      </c>
      <c r="D7" s="1" t="s">
        <v>10</v>
      </c>
      <c r="E7" s="1" t="str">
        <f>VLOOKUP(B7,[1]Data!$A:$J,10,0)</f>
        <v>Enterprise</v>
      </c>
      <c r="F7" s="1" t="str">
        <f>VLOOKUP(B7,[1]Data!$A:$L,12,0)</f>
        <v>O&amp;M</v>
      </c>
      <c r="G7" s="1"/>
      <c r="H7" s="4"/>
      <c r="I7" s="4"/>
      <c r="J7" s="4"/>
    </row>
    <row r="8" spans="1:10">
      <c r="A8" s="4">
        <v>7</v>
      </c>
      <c r="B8" s="3" t="s">
        <v>24</v>
      </c>
      <c r="C8" s="1" t="s">
        <v>25</v>
      </c>
      <c r="D8" s="1" t="s">
        <v>10</v>
      </c>
      <c r="E8" s="1" t="str">
        <f>VLOOKUP(B8,[1]Data!$A:$J,10,0)</f>
        <v>Mobility</v>
      </c>
      <c r="F8" s="1" t="str">
        <f>VLOOKUP(B8,[1]Data!$A:$L,12,0)</f>
        <v>O&amp;M</v>
      </c>
      <c r="G8" s="1"/>
      <c r="H8" s="4"/>
      <c r="I8" s="4"/>
      <c r="J8" s="4"/>
    </row>
    <row r="9" spans="1:10">
      <c r="A9" s="4">
        <v>51</v>
      </c>
      <c r="B9" s="2" t="s">
        <v>124</v>
      </c>
      <c r="C9" s="2" t="s">
        <v>125</v>
      </c>
      <c r="D9" s="1" t="s">
        <v>13</v>
      </c>
      <c r="E9" s="1" t="s">
        <v>17</v>
      </c>
      <c r="F9" s="1" t="s">
        <v>14</v>
      </c>
      <c r="G9" s="2"/>
      <c r="H9" s="13"/>
      <c r="I9" s="13"/>
      <c r="J9" s="13"/>
    </row>
    <row r="10" spans="1:10">
      <c r="A10" s="4">
        <v>8</v>
      </c>
      <c r="B10" s="3" t="s">
        <v>26</v>
      </c>
      <c r="C10" s="1" t="s">
        <v>27</v>
      </c>
      <c r="D10" s="1" t="s">
        <v>7</v>
      </c>
      <c r="E10" s="1" t="str">
        <f>VLOOKUP(B10,[1]Data!$A:$J,10,0)</f>
        <v>Mobility</v>
      </c>
      <c r="F10" s="1" t="str">
        <f>VLOOKUP(B10,[1]Data!$A:$L,12,0)</f>
        <v>O&amp;M</v>
      </c>
      <c r="G10" s="1"/>
      <c r="H10" s="4"/>
      <c r="I10" s="4"/>
      <c r="J10" s="4"/>
    </row>
    <row r="11" spans="1:10">
      <c r="A11" s="4">
        <v>9</v>
      </c>
      <c r="B11" s="3" t="s">
        <v>28</v>
      </c>
      <c r="C11" s="1" t="s">
        <v>29</v>
      </c>
      <c r="D11" s="1" t="s">
        <v>13</v>
      </c>
      <c r="E11" s="1" t="str">
        <f>VLOOKUP(B11,[1]Data!$A:$J,10,0)</f>
        <v>Mobility</v>
      </c>
      <c r="F11" s="1" t="str">
        <f>VLOOKUP(B11,[1]Data!$A:$L,12,0)</f>
        <v>O&amp;M</v>
      </c>
      <c r="G11" s="1"/>
      <c r="H11" s="4"/>
      <c r="I11" s="4"/>
      <c r="J11" s="4"/>
    </row>
    <row r="12" spans="1:10">
      <c r="A12" s="4">
        <v>10</v>
      </c>
      <c r="B12" s="3" t="s">
        <v>30</v>
      </c>
      <c r="C12" s="1" t="s">
        <v>31</v>
      </c>
      <c r="D12" s="1" t="s">
        <v>7</v>
      </c>
      <c r="E12" s="1" t="str">
        <f>VLOOKUP(B12,[1]Data!$A:$J,10,0)</f>
        <v>Mobility</v>
      </c>
      <c r="F12" s="1" t="str">
        <f>VLOOKUP(B12,[1]Data!$A:$L,12,0)</f>
        <v>Project</v>
      </c>
      <c r="G12" s="1"/>
      <c r="H12" s="4"/>
      <c r="I12" s="4"/>
      <c r="J12" s="4"/>
    </row>
    <row r="13" spans="1:10">
      <c r="A13" s="4">
        <v>11</v>
      </c>
      <c r="B13" s="3" t="s">
        <v>32</v>
      </c>
      <c r="C13" s="1" t="s">
        <v>33</v>
      </c>
      <c r="D13" s="1" t="s">
        <v>34</v>
      </c>
      <c r="E13" s="1" t="str">
        <f>VLOOKUP(B13,[1]Data!$A:$J,10,0)</f>
        <v>Mobility</v>
      </c>
      <c r="F13" s="1" t="str">
        <f>VLOOKUP(B13,[1]Data!$A:$L,12,0)</f>
        <v>Business</v>
      </c>
      <c r="G13" s="1"/>
      <c r="H13" s="4"/>
      <c r="I13" s="4"/>
      <c r="J13" s="4"/>
    </row>
    <row r="14" spans="1:10">
      <c r="A14" s="4">
        <v>12</v>
      </c>
      <c r="B14" s="3" t="s">
        <v>35</v>
      </c>
      <c r="C14" s="1" t="s">
        <v>36</v>
      </c>
      <c r="D14" s="1" t="s">
        <v>21</v>
      </c>
      <c r="E14" s="2" t="s">
        <v>17</v>
      </c>
      <c r="F14" s="1" t="s">
        <v>14</v>
      </c>
      <c r="G14" s="1"/>
      <c r="H14" s="4"/>
      <c r="I14" s="4"/>
      <c r="J14" s="4"/>
    </row>
    <row r="15" spans="1:10">
      <c r="A15" s="4">
        <v>13</v>
      </c>
      <c r="B15" s="3" t="s">
        <v>37</v>
      </c>
      <c r="C15" s="1" t="s">
        <v>38</v>
      </c>
      <c r="D15" s="1" t="s">
        <v>10</v>
      </c>
      <c r="E15" s="1" t="str">
        <f>VLOOKUP(B15,[1]Data!$A:$J,10,0)</f>
        <v>Mobility</v>
      </c>
      <c r="F15" s="1" t="s">
        <v>14</v>
      </c>
      <c r="G15" s="1"/>
      <c r="H15" s="4"/>
      <c r="I15" s="4"/>
      <c r="J15" s="4"/>
    </row>
    <row r="16" spans="1:10">
      <c r="A16" s="4">
        <v>14</v>
      </c>
      <c r="B16" s="5" t="s">
        <v>39</v>
      </c>
      <c r="C16" s="1" t="s">
        <v>40</v>
      </c>
      <c r="D16" s="1" t="s">
        <v>34</v>
      </c>
      <c r="E16" s="1" t="s">
        <v>17</v>
      </c>
      <c r="F16" s="1" t="s">
        <v>14</v>
      </c>
      <c r="G16" s="1"/>
      <c r="H16" s="4"/>
      <c r="I16" s="4"/>
      <c r="J16" s="4"/>
    </row>
    <row r="17" spans="1:10">
      <c r="A17" s="4">
        <v>15</v>
      </c>
      <c r="B17" s="5" t="s">
        <v>41</v>
      </c>
      <c r="C17" s="1" t="s">
        <v>42</v>
      </c>
      <c r="D17" s="1" t="s">
        <v>13</v>
      </c>
      <c r="E17" s="1" t="s">
        <v>17</v>
      </c>
      <c r="F17" s="1" t="s">
        <v>18</v>
      </c>
      <c r="G17" s="1"/>
      <c r="H17" s="4"/>
      <c r="I17" s="4"/>
      <c r="J17" s="4"/>
    </row>
    <row r="18" spans="1:10">
      <c r="A18" s="4">
        <v>16</v>
      </c>
      <c r="B18" s="3" t="s">
        <v>43</v>
      </c>
      <c r="C18" s="1" t="s">
        <v>44</v>
      </c>
      <c r="D18" s="1" t="s">
        <v>45</v>
      </c>
      <c r="E18" s="1" t="str">
        <f>VLOOKUP(B18,[1]Data!$A:$J,10,0)</f>
        <v>Mobility</v>
      </c>
      <c r="F18" s="1" t="str">
        <f>VLOOKUP(B18,[1]Data!$A:$L,12,0)</f>
        <v>O&amp;M</v>
      </c>
      <c r="G18" s="1"/>
      <c r="H18" s="4"/>
      <c r="I18" s="4"/>
      <c r="J18" s="4"/>
    </row>
    <row r="19" spans="1:10">
      <c r="A19" s="4">
        <v>17</v>
      </c>
      <c r="B19" s="3" t="s">
        <v>46</v>
      </c>
      <c r="C19" s="1" t="s">
        <v>47</v>
      </c>
      <c r="D19" s="1" t="s">
        <v>7</v>
      </c>
      <c r="E19" s="1" t="str">
        <f>VLOOKUP(B19,[1]Data!$A:$J,10,0)</f>
        <v>Mobility</v>
      </c>
      <c r="F19" s="1" t="str">
        <f>VLOOKUP(B19,[1]Data!$A:$L,12,0)</f>
        <v>Project</v>
      </c>
      <c r="G19" s="1"/>
      <c r="H19" s="4"/>
      <c r="I19" s="4"/>
      <c r="J19" s="4"/>
    </row>
    <row r="20" spans="1:10">
      <c r="A20" s="4">
        <v>18</v>
      </c>
      <c r="B20" s="3" t="s">
        <v>48</v>
      </c>
      <c r="C20" s="1" t="s">
        <v>49</v>
      </c>
      <c r="D20" s="1" t="s">
        <v>13</v>
      </c>
      <c r="E20" s="1" t="str">
        <f>VLOOKUP(B20,[1]Data!$A:$J,10,0)</f>
        <v>Mobility</v>
      </c>
      <c r="F20" s="1" t="str">
        <f>VLOOKUP(B20,[1]Data!$A:$L,12,0)</f>
        <v>O&amp;M</v>
      </c>
      <c r="G20" s="1"/>
      <c r="H20" s="4"/>
      <c r="I20" s="4"/>
      <c r="J20" s="4"/>
    </row>
    <row r="21" spans="1:10">
      <c r="A21" s="4">
        <v>19</v>
      </c>
      <c r="B21" s="2" t="s">
        <v>112</v>
      </c>
      <c r="C21" s="2" t="s">
        <v>113</v>
      </c>
      <c r="D21" s="2" t="s">
        <v>114</v>
      </c>
      <c r="E21" s="1" t="str">
        <f>VLOOKUP(B21,[1]Data!$A:$J,10,0)</f>
        <v>Enterprise</v>
      </c>
      <c r="F21" s="1" t="str">
        <f>VLOOKUP(B21,[1]Data!$A:$L,12,0)</f>
        <v>O&amp;M</v>
      </c>
      <c r="G21" s="2"/>
      <c r="H21" s="4"/>
      <c r="I21" s="4"/>
      <c r="J21" s="4"/>
    </row>
    <row r="22" spans="1:10">
      <c r="A22" s="4">
        <v>20</v>
      </c>
      <c r="B22" s="5" t="s">
        <v>50</v>
      </c>
      <c r="C22" s="1" t="s">
        <v>51</v>
      </c>
      <c r="D22" s="1" t="s">
        <v>10</v>
      </c>
      <c r="E22" s="1" t="s">
        <v>17</v>
      </c>
      <c r="F22" s="1" t="s">
        <v>18</v>
      </c>
      <c r="G22" s="1"/>
      <c r="H22" s="4"/>
      <c r="I22" s="4"/>
      <c r="J22" s="4"/>
    </row>
    <row r="23" spans="1:10">
      <c r="A23" s="4">
        <v>21</v>
      </c>
      <c r="B23" s="3" t="s">
        <v>52</v>
      </c>
      <c r="C23" s="1" t="s">
        <v>53</v>
      </c>
      <c r="D23" s="1" t="s">
        <v>13</v>
      </c>
      <c r="E23" s="1" t="str">
        <f>VLOOKUP(B23,[1]Data!$A:$J,10,0)</f>
        <v>Mobility</v>
      </c>
      <c r="F23" s="1" t="s">
        <v>14</v>
      </c>
      <c r="G23" s="1"/>
      <c r="H23" s="4"/>
      <c r="I23" s="4"/>
      <c r="J23" s="4"/>
    </row>
    <row r="24" spans="1:10">
      <c r="A24" s="4">
        <v>22</v>
      </c>
      <c r="B24" s="3" t="s">
        <v>54</v>
      </c>
      <c r="C24" s="1" t="s">
        <v>55</v>
      </c>
      <c r="D24" s="1" t="s">
        <v>13</v>
      </c>
      <c r="E24" s="1" t="str">
        <f>VLOOKUP(B24,[1]Data!$A:$J,10,0)</f>
        <v>Mobility</v>
      </c>
      <c r="F24" s="1" t="str">
        <f>VLOOKUP(B24,[1]Data!$A:$L,12,0)</f>
        <v>Project</v>
      </c>
      <c r="G24" s="1"/>
      <c r="H24" s="4"/>
      <c r="I24" s="4"/>
      <c r="J24" s="4"/>
    </row>
    <row r="25" spans="1:10">
      <c r="A25" s="4">
        <v>23</v>
      </c>
      <c r="B25" s="4" t="s">
        <v>109</v>
      </c>
      <c r="C25" s="4" t="s">
        <v>110</v>
      </c>
      <c r="D25" s="1" t="s">
        <v>45</v>
      </c>
      <c r="E25" s="1" t="s">
        <v>17</v>
      </c>
      <c r="F25" s="1" t="s">
        <v>14</v>
      </c>
      <c r="G25" s="4"/>
      <c r="H25" s="4"/>
      <c r="I25" s="4"/>
      <c r="J25" s="4"/>
    </row>
    <row r="26" spans="1:10">
      <c r="A26" s="4">
        <v>24</v>
      </c>
      <c r="B26" s="3" t="s">
        <v>56</v>
      </c>
      <c r="C26" s="1" t="s">
        <v>57</v>
      </c>
      <c r="D26" s="1" t="s">
        <v>10</v>
      </c>
      <c r="E26" s="1" t="str">
        <f>VLOOKUP(B26,[1]Data!$A:$J,10,0)</f>
        <v>Mobility</v>
      </c>
      <c r="F26" s="1" t="str">
        <f>VLOOKUP(B26,[1]Data!$A:$L,12,0)</f>
        <v>O&amp;M</v>
      </c>
      <c r="G26" s="1"/>
      <c r="H26" s="4"/>
      <c r="I26" s="4"/>
      <c r="J26" s="4"/>
    </row>
    <row r="27" spans="1:10">
      <c r="A27" s="4">
        <v>25</v>
      </c>
      <c r="B27" s="2" t="s">
        <v>115</v>
      </c>
      <c r="C27" s="2" t="s">
        <v>116</v>
      </c>
      <c r="D27" s="1" t="s">
        <v>13</v>
      </c>
      <c r="E27" s="1" t="str">
        <f>VLOOKUP(B27,[1]Data!$A:$J,10,0)</f>
        <v>Mobility</v>
      </c>
      <c r="F27" s="1" t="str">
        <f>VLOOKUP(B27,[1]Data!$A:$L,12,0)</f>
        <v>Business</v>
      </c>
      <c r="G27" s="2"/>
      <c r="H27" s="4"/>
      <c r="I27" s="4"/>
      <c r="J27" s="4"/>
    </row>
    <row r="28" spans="1:10">
      <c r="A28" s="4">
        <v>26</v>
      </c>
      <c r="B28" s="3" t="s">
        <v>58</v>
      </c>
      <c r="C28" s="1" t="s">
        <v>59</v>
      </c>
      <c r="D28" s="1" t="s">
        <v>34</v>
      </c>
      <c r="E28" s="1" t="str">
        <f>VLOOKUP(B28,[1]Data!$A:$J,10,0)</f>
        <v>Mobility</v>
      </c>
      <c r="F28" s="1" t="s">
        <v>14</v>
      </c>
      <c r="G28" s="1"/>
      <c r="H28" s="4"/>
      <c r="I28" s="4"/>
      <c r="J28" s="4"/>
    </row>
    <row r="29" spans="1:10">
      <c r="A29" s="4">
        <v>27</v>
      </c>
      <c r="B29" s="5" t="s">
        <v>60</v>
      </c>
      <c r="C29" s="1" t="s">
        <v>61</v>
      </c>
      <c r="D29" s="1" t="s">
        <v>13</v>
      </c>
      <c r="E29" s="1" t="s">
        <v>17</v>
      </c>
      <c r="F29" s="1" t="s">
        <v>14</v>
      </c>
      <c r="G29" s="1"/>
      <c r="H29" s="4"/>
      <c r="I29" s="4"/>
      <c r="J29" s="4"/>
    </row>
    <row r="30" spans="1:10">
      <c r="A30" s="4">
        <v>28</v>
      </c>
      <c r="B30" s="5" t="s">
        <v>62</v>
      </c>
      <c r="C30" s="1" t="s">
        <v>63</v>
      </c>
      <c r="D30" s="1" t="s">
        <v>10</v>
      </c>
      <c r="E30" s="2" t="s">
        <v>17</v>
      </c>
      <c r="F30" s="1" t="s">
        <v>14</v>
      </c>
      <c r="G30" s="1"/>
      <c r="H30" s="4"/>
      <c r="I30" s="4"/>
      <c r="J30" s="4"/>
    </row>
    <row r="31" spans="1:10">
      <c r="A31" s="4">
        <v>29</v>
      </c>
      <c r="B31" s="3" t="s">
        <v>64</v>
      </c>
      <c r="C31" s="1" t="s">
        <v>65</v>
      </c>
      <c r="D31" s="1" t="s">
        <v>66</v>
      </c>
      <c r="E31" s="1" t="str">
        <f>VLOOKUP(B31,[1]Data!$A:$J,10,0)</f>
        <v>Mobility</v>
      </c>
      <c r="F31" s="1" t="str">
        <f>VLOOKUP(B31,[1]Data!$A:$L,12,0)</f>
        <v>Business</v>
      </c>
      <c r="G31" s="1"/>
      <c r="H31" s="4"/>
      <c r="I31" s="4"/>
      <c r="J31" s="4"/>
    </row>
    <row r="32" spans="1:10">
      <c r="A32" s="4">
        <v>30</v>
      </c>
      <c r="B32" s="3" t="s">
        <v>67</v>
      </c>
      <c r="C32" s="1" t="s">
        <v>68</v>
      </c>
      <c r="D32" s="1" t="s">
        <v>69</v>
      </c>
      <c r="E32" s="1" t="str">
        <f>VLOOKUP(B32,[1]Data!$A:$J,10,0)</f>
        <v>Mobility</v>
      </c>
      <c r="F32" s="1" t="str">
        <f>VLOOKUP(B32,[1]Data!$A:$L,12,0)</f>
        <v>Business</v>
      </c>
      <c r="G32" s="1"/>
      <c r="H32" s="4"/>
      <c r="I32" s="4"/>
      <c r="J32" s="4"/>
    </row>
    <row r="33" spans="1:10">
      <c r="A33" s="4">
        <v>31</v>
      </c>
      <c r="B33" s="3" t="s">
        <v>70</v>
      </c>
      <c r="C33" s="1" t="s">
        <v>71</v>
      </c>
      <c r="D33" s="1" t="s">
        <v>13</v>
      </c>
      <c r="E33" s="1" t="str">
        <f>VLOOKUP(B33,[1]Data!$A:$J,10,0)</f>
        <v>Mobility</v>
      </c>
      <c r="F33" s="1" t="str">
        <f>VLOOKUP(B33,[1]Data!$A:$L,12,0)</f>
        <v>O&amp;M</v>
      </c>
      <c r="G33" s="1"/>
      <c r="H33" s="4"/>
      <c r="I33" s="4"/>
      <c r="J33" s="4"/>
    </row>
    <row r="34" spans="1:10">
      <c r="A34" s="4">
        <v>32</v>
      </c>
      <c r="B34" s="3" t="s">
        <v>72</v>
      </c>
      <c r="C34" s="1" t="s">
        <v>73</v>
      </c>
      <c r="D34" s="1" t="s">
        <v>13</v>
      </c>
      <c r="E34" s="1" t="str">
        <f>VLOOKUP(B34,[1]Data!$A:$J,10,0)</f>
        <v>Mobility</v>
      </c>
      <c r="F34" s="1" t="str">
        <f>VLOOKUP(B34,[1]Data!$A:$L,12,0)</f>
        <v>O&amp;M</v>
      </c>
      <c r="G34" s="1"/>
      <c r="H34" s="4"/>
      <c r="I34" s="4"/>
      <c r="J34" s="4"/>
    </row>
    <row r="35" spans="1:10">
      <c r="A35" s="4">
        <v>33</v>
      </c>
      <c r="B35" s="3" t="s">
        <v>74</v>
      </c>
      <c r="C35" s="1" t="s">
        <v>75</v>
      </c>
      <c r="D35" s="1" t="s">
        <v>13</v>
      </c>
      <c r="E35" s="1" t="str">
        <f>VLOOKUP(B35,[1]Data!$A:$J,10,0)</f>
        <v>Mobility</v>
      </c>
      <c r="F35" s="1" t="str">
        <f>VLOOKUP(B35,[1]Data!$A:$L,12,0)</f>
        <v>O&amp;M</v>
      </c>
      <c r="G35" s="1"/>
      <c r="H35" s="4"/>
      <c r="I35" s="4"/>
      <c r="J35" s="4"/>
    </row>
    <row r="36" spans="1:10">
      <c r="A36" s="4">
        <v>34</v>
      </c>
      <c r="B36" s="5" t="s">
        <v>76</v>
      </c>
      <c r="C36" s="1" t="s">
        <v>77</v>
      </c>
      <c r="D36" s="1" t="s">
        <v>13</v>
      </c>
      <c r="E36" s="1" t="s">
        <v>17</v>
      </c>
      <c r="F36" s="1" t="s">
        <v>14</v>
      </c>
      <c r="G36" s="1"/>
      <c r="H36" s="4"/>
      <c r="I36" s="4"/>
      <c r="J36" s="4"/>
    </row>
    <row r="37" spans="1:10">
      <c r="A37" s="4">
        <v>35</v>
      </c>
      <c r="B37" s="5" t="s">
        <v>78</v>
      </c>
      <c r="C37" s="1" t="s">
        <v>79</v>
      </c>
      <c r="D37" s="1" t="s">
        <v>69</v>
      </c>
      <c r="E37" s="1" t="s">
        <v>17</v>
      </c>
      <c r="F37" s="1" t="s">
        <v>14</v>
      </c>
      <c r="G37" s="1"/>
      <c r="H37" s="4"/>
      <c r="I37" s="4"/>
      <c r="J37" s="4"/>
    </row>
    <row r="38" spans="1:10">
      <c r="A38" s="4">
        <v>50</v>
      </c>
      <c r="B38" s="4" t="s">
        <v>121</v>
      </c>
      <c r="C38" s="4" t="s">
        <v>122</v>
      </c>
      <c r="D38" s="1" t="s">
        <v>69</v>
      </c>
      <c r="E38" s="1" t="s">
        <v>17</v>
      </c>
      <c r="F38" s="1" t="s">
        <v>111</v>
      </c>
      <c r="G38" s="4"/>
      <c r="H38" s="4"/>
      <c r="I38" s="4"/>
      <c r="J38" s="4"/>
    </row>
    <row r="39" spans="1:10">
      <c r="A39" s="4">
        <v>36</v>
      </c>
      <c r="B39" s="3" t="s">
        <v>80</v>
      </c>
      <c r="C39" s="1" t="s">
        <v>81</v>
      </c>
      <c r="D39" s="1" t="s">
        <v>10</v>
      </c>
      <c r="E39" s="1" t="str">
        <f>VLOOKUP(B39,[1]Data!$A:$J,10,0)</f>
        <v>Enterprise</v>
      </c>
      <c r="F39" s="1" t="str">
        <f>VLOOKUP(B39,[1]Data!$A:$L,12,0)</f>
        <v>O&amp;M</v>
      </c>
      <c r="G39" s="1"/>
      <c r="H39" s="4"/>
      <c r="I39" s="4"/>
      <c r="J39" s="4"/>
    </row>
    <row r="40" spans="1:10">
      <c r="A40" s="4">
        <v>37</v>
      </c>
      <c r="B40" s="3" t="s">
        <v>82</v>
      </c>
      <c r="C40" s="1" t="s">
        <v>83</v>
      </c>
      <c r="D40" s="1" t="s">
        <v>45</v>
      </c>
      <c r="E40" s="1" t="str">
        <f>VLOOKUP(B40,[1]Data!$A:$J,10,0)</f>
        <v>Mobility</v>
      </c>
      <c r="F40" s="1" t="str">
        <f>VLOOKUP(B40,[1]Data!$A:$L,12,0)</f>
        <v>Business</v>
      </c>
      <c r="G40" s="1"/>
      <c r="H40" s="4"/>
      <c r="I40" s="4"/>
      <c r="J40" s="4"/>
    </row>
    <row r="41" spans="1:10">
      <c r="A41" s="4">
        <v>38</v>
      </c>
      <c r="B41" s="1" t="s">
        <v>84</v>
      </c>
      <c r="C41" s="1" t="s">
        <v>85</v>
      </c>
      <c r="D41" s="1" t="s">
        <v>10</v>
      </c>
      <c r="E41" s="1" t="str">
        <f>VLOOKUP(B41,[1]Data!$A:$J,10,0)</f>
        <v>IBS</v>
      </c>
      <c r="F41" s="1" t="str">
        <f>VLOOKUP(B41,[1]Data!$A:$L,12,0)</f>
        <v>Business</v>
      </c>
      <c r="G41" s="1"/>
      <c r="H41" s="4"/>
      <c r="I41" s="4"/>
      <c r="J41" s="4"/>
    </row>
    <row r="42" spans="1:10">
      <c r="A42" s="4">
        <v>39</v>
      </c>
      <c r="B42" s="1" t="s">
        <v>86</v>
      </c>
      <c r="C42" s="1" t="s">
        <v>87</v>
      </c>
      <c r="D42" s="1" t="s">
        <v>10</v>
      </c>
      <c r="E42" s="1" t="str">
        <f>VLOOKUP(B42,[1]Data!$A:$J,10,0)</f>
        <v>Mobility</v>
      </c>
      <c r="F42" s="1" t="str">
        <f>VLOOKUP(B42,[1]Data!$A:$L,12,0)</f>
        <v>Business</v>
      </c>
      <c r="G42" s="1"/>
      <c r="H42" s="4"/>
      <c r="I42" s="4"/>
      <c r="J42" s="4"/>
    </row>
    <row r="43" spans="1:10">
      <c r="A43" s="4">
        <v>40</v>
      </c>
      <c r="B43" s="6" t="s">
        <v>105</v>
      </c>
      <c r="C43" s="6" t="s">
        <v>106</v>
      </c>
      <c r="D43" s="1" t="s">
        <v>13</v>
      </c>
      <c r="E43" s="7" t="s">
        <v>107</v>
      </c>
      <c r="F43" s="1" t="s">
        <v>108</v>
      </c>
      <c r="G43" s="7"/>
      <c r="H43" s="4"/>
      <c r="I43" s="4"/>
      <c r="J43" s="4"/>
    </row>
    <row r="44" spans="1:10">
      <c r="A44" s="4">
        <v>41</v>
      </c>
      <c r="B44" s="1" t="s">
        <v>88</v>
      </c>
      <c r="C44" s="1" t="s">
        <v>89</v>
      </c>
      <c r="D44" s="1" t="s">
        <v>10</v>
      </c>
      <c r="E44" s="1" t="str">
        <f>VLOOKUP(B44,[1]Data!$A:$J,10,0)</f>
        <v>Mobility</v>
      </c>
      <c r="F44" s="1" t="str">
        <f>VLOOKUP(B44,[1]Data!$A:$L,12,0)</f>
        <v>O&amp;M</v>
      </c>
      <c r="G44" s="1"/>
      <c r="H44" s="4"/>
      <c r="I44" s="4"/>
      <c r="J44" s="4"/>
    </row>
    <row r="45" spans="1:10">
      <c r="A45" s="4">
        <v>42</v>
      </c>
      <c r="B45" s="2" t="s">
        <v>117</v>
      </c>
      <c r="C45" s="2" t="s">
        <v>118</v>
      </c>
      <c r="D45" s="2" t="s">
        <v>7</v>
      </c>
      <c r="E45" s="1" t="str">
        <f>VLOOKUP(B45,[1]Data!$A:$J,10,0)</f>
        <v>Enterprise</v>
      </c>
      <c r="F45" s="1" t="str">
        <f>VLOOKUP(B45,[1]Data!$A:$L,12,0)</f>
        <v>O&amp;M</v>
      </c>
      <c r="G45" s="2"/>
      <c r="H45" s="4"/>
      <c r="I45" s="4"/>
      <c r="J45" s="4"/>
    </row>
    <row r="46" spans="1:10">
      <c r="A46" s="4">
        <v>43</v>
      </c>
      <c r="B46" s="1" t="s">
        <v>90</v>
      </c>
      <c r="C46" s="1" t="s">
        <v>91</v>
      </c>
      <c r="D46" s="1" t="s">
        <v>13</v>
      </c>
      <c r="E46" s="1" t="str">
        <f>VLOOKUP(B46,[1]Data!$A:$J,10,0)</f>
        <v xml:space="preserve">Enterprise </v>
      </c>
      <c r="F46" s="1" t="str">
        <f>VLOOKUP(B46,[1]Data!$A:$L,12,0)</f>
        <v>Project</v>
      </c>
      <c r="G46" s="1"/>
      <c r="H46" s="4"/>
      <c r="I46" s="4"/>
      <c r="J46" s="4"/>
    </row>
    <row r="47" spans="1:10">
      <c r="A47" s="4">
        <v>44</v>
      </c>
      <c r="B47" s="1" t="s">
        <v>92</v>
      </c>
      <c r="C47" s="1" t="s">
        <v>93</v>
      </c>
      <c r="D47" s="1" t="s">
        <v>13</v>
      </c>
      <c r="E47" s="1" t="str">
        <f>VLOOKUP(B47,[1]Data!$A:$J,10,0)</f>
        <v>Mobility</v>
      </c>
      <c r="F47" s="1" t="str">
        <f>VLOOKUP(B47,[1]Data!$A:$L,12,0)</f>
        <v>Business</v>
      </c>
      <c r="G47" s="1"/>
      <c r="H47" s="4"/>
      <c r="I47" s="4"/>
      <c r="J47" s="4"/>
    </row>
    <row r="48" spans="1:10">
      <c r="A48" s="4">
        <v>45</v>
      </c>
      <c r="B48" s="3" t="s">
        <v>94</v>
      </c>
      <c r="C48" s="1" t="s">
        <v>95</v>
      </c>
      <c r="D48" s="1" t="s">
        <v>45</v>
      </c>
      <c r="E48" s="1" t="str">
        <f>VLOOKUP(B48,[1]Data!$A:$J,10,0)</f>
        <v>Mobility</v>
      </c>
      <c r="F48" s="1" t="str">
        <f>VLOOKUP(B48,[1]Data!$A:$L,12,0)</f>
        <v>Project</v>
      </c>
      <c r="G48" s="1"/>
      <c r="H48" s="4"/>
      <c r="I48" s="4"/>
      <c r="J48" s="4"/>
    </row>
    <row r="49" spans="1:10">
      <c r="A49" s="4">
        <v>46</v>
      </c>
      <c r="B49" s="3" t="s">
        <v>96</v>
      </c>
      <c r="C49" s="1" t="s">
        <v>97</v>
      </c>
      <c r="D49" s="1" t="s">
        <v>13</v>
      </c>
      <c r="E49" s="1" t="str">
        <f>VLOOKUP(B49,[1]Data!$A:$J,10,0)</f>
        <v>Mobility</v>
      </c>
      <c r="F49" s="1" t="s">
        <v>14</v>
      </c>
      <c r="G49" s="1"/>
      <c r="H49" s="4"/>
      <c r="I49" s="4"/>
      <c r="J49" s="4"/>
    </row>
    <row r="50" spans="1:10">
      <c r="A50" s="4">
        <v>47</v>
      </c>
      <c r="B50" s="5" t="s">
        <v>98</v>
      </c>
      <c r="C50" s="1" t="s">
        <v>99</v>
      </c>
      <c r="D50" s="1" t="s">
        <v>13</v>
      </c>
      <c r="E50" s="1" t="s">
        <v>17</v>
      </c>
      <c r="F50" s="1" t="s">
        <v>18</v>
      </c>
      <c r="G50" s="1"/>
      <c r="H50" s="4"/>
      <c r="I50" s="4"/>
      <c r="J50" s="4"/>
    </row>
    <row r="51" spans="1:10">
      <c r="A51" s="4">
        <v>48</v>
      </c>
      <c r="B51" s="3" t="s">
        <v>100</v>
      </c>
      <c r="C51" s="1" t="s">
        <v>101</v>
      </c>
      <c r="D51" s="1" t="s">
        <v>10</v>
      </c>
      <c r="E51" s="1" t="str">
        <f>VLOOKUP(B51,[1]Data!$A:$J,10,0)</f>
        <v>Mobility</v>
      </c>
      <c r="F51" s="1" t="s">
        <v>14</v>
      </c>
      <c r="G51" s="1"/>
      <c r="H51" s="4"/>
      <c r="I51" s="4"/>
      <c r="J51" s="4"/>
    </row>
    <row r="52" spans="1:10">
      <c r="A52" s="4">
        <v>49</v>
      </c>
      <c r="B52" s="1" t="s">
        <v>102</v>
      </c>
      <c r="C52" s="1" t="s">
        <v>103</v>
      </c>
      <c r="D52" s="1" t="s">
        <v>34</v>
      </c>
      <c r="E52" s="1" t="str">
        <f>VLOOKUP(B52,[1]Data!$A:$J,10,0)</f>
        <v>Mobility</v>
      </c>
      <c r="F52" s="1" t="s">
        <v>14</v>
      </c>
      <c r="G52" s="1"/>
      <c r="H52" s="4"/>
      <c r="I52" s="4"/>
      <c r="J52" s="4"/>
    </row>
  </sheetData>
  <autoFilter ref="A1:J52" xr:uid="{F1E40BF6-1E95-45AA-B09E-701102D03E99}">
    <sortState xmlns:xlrd2="http://schemas.microsoft.com/office/spreadsheetml/2017/richdata2" ref="A2:J52">
      <sortCondition ref="B1:B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Thorat</dc:creator>
  <cp:lastModifiedBy>Priya Thorat</cp:lastModifiedBy>
  <dcterms:created xsi:type="dcterms:W3CDTF">2026-01-14T07:12:26Z</dcterms:created>
  <dcterms:modified xsi:type="dcterms:W3CDTF">2026-04-01T07:11:07Z</dcterms:modified>
</cp:coreProperties>
</file>